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tknautz/Downloads/deskGIT/"/>
    </mc:Choice>
  </mc:AlternateContent>
  <xr:revisionPtr revIDLastSave="0" documentId="8_{C3F3B155-9D53-4F4C-BA86-CA5869CF5D31}" xr6:coauthVersionLast="47" xr6:coauthVersionMax="47" xr10:uidLastSave="{00000000-0000-0000-0000-000000000000}"/>
  <bookViews>
    <workbookView xWindow="560" yWindow="760" windowWidth="33660" windowHeight="19880" activeTab="3" xr2:uid="{CFE638FC-A57C-764D-B691-C518CE065E3C}"/>
  </bookViews>
  <sheets>
    <sheet name="2023" sheetId="2" r:id="rId1"/>
    <sheet name="2024" sheetId="4" r:id="rId2"/>
    <sheet name="2025" sheetId="5" r:id="rId3"/>
    <sheet name="2026" sheetId="6" r:id="rId4"/>
  </sheets>
  <definedNames>
    <definedName name="_xlnm.Print_Area" localSheetId="2">'2025'!$A$1:$R$64</definedName>
    <definedName name="_xlnm.Print_Area" localSheetId="3">'2026'!$A$1:$R$48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6" l="1"/>
  <c r="J48" i="5"/>
  <c r="K4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30" i="6"/>
  <c r="J31" i="6"/>
  <c r="J32" i="6"/>
  <c r="K50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50" i="5"/>
  <c r="J2" i="6"/>
  <c r="J3" i="6"/>
  <c r="J4" i="6"/>
  <c r="J5" i="6"/>
  <c r="J6" i="6"/>
  <c r="J7" i="6"/>
  <c r="J9" i="6"/>
  <c r="J10" i="6"/>
  <c r="J11" i="6"/>
  <c r="J27" i="6"/>
  <c r="J28" i="6"/>
  <c r="K56" i="4"/>
  <c r="J56" i="4"/>
  <c r="J58" i="4"/>
  <c r="J2" i="4"/>
  <c r="J3" i="4"/>
  <c r="J16" i="4"/>
  <c r="J6" i="4"/>
  <c r="J22" i="4"/>
  <c r="J32" i="4"/>
  <c r="J33" i="4"/>
  <c r="J34" i="4"/>
  <c r="J31" i="4"/>
  <c r="J35" i="4"/>
  <c r="J29" i="4"/>
  <c r="J28" i="4"/>
  <c r="J24" i="4"/>
  <c r="J23" i="4"/>
  <c r="J20" i="4"/>
  <c r="J19" i="4"/>
  <c r="J17" i="4"/>
  <c r="J15" i="4"/>
  <c r="J13" i="4"/>
  <c r="J12" i="4"/>
  <c r="J11" i="4"/>
  <c r="J4" i="4"/>
  <c r="J5" i="4"/>
  <c r="J7" i="4"/>
  <c r="J8" i="4"/>
  <c r="J9" i="4"/>
  <c r="I88" i="2"/>
  <c r="I28" i="2"/>
  <c r="J10" i="4"/>
  <c r="J30" i="4"/>
  <c r="J27" i="4"/>
  <c r="J25" i="4"/>
  <c r="J21" i="4"/>
  <c r="J18" i="4"/>
  <c r="J14" i="4"/>
  <c r="I11" i="2"/>
  <c r="I32" i="2"/>
  <c r="I15" i="2"/>
  <c r="I19" i="2"/>
  <c r="I22" i="2"/>
  <c r="I26" i="2"/>
  <c r="I37" i="2"/>
  <c r="I41" i="2"/>
  <c r="I48" i="2"/>
  <c r="I76" i="2"/>
  <c r="I69" i="2"/>
  <c r="I68" i="2"/>
  <c r="I67" i="2"/>
  <c r="I66" i="2"/>
  <c r="I65" i="2"/>
  <c r="I62" i="2"/>
  <c r="I63" i="2"/>
  <c r="I64" i="2"/>
  <c r="I61" i="2"/>
  <c r="I59" i="2"/>
  <c r="I58" i="2"/>
  <c r="I70" i="2"/>
  <c r="J29" i="6"/>
  <c r="J8" i="6"/>
  <c r="J12" i="6"/>
  <c r="J42" i="6"/>
</calcChain>
</file>

<file path=xl/sharedStrings.xml><?xml version="1.0" encoding="utf-8"?>
<sst xmlns="http://schemas.openxmlformats.org/spreadsheetml/2006/main" count="910" uniqueCount="355">
  <si>
    <t>Publication</t>
  </si>
  <si>
    <t xml:space="preserve">Editorial </t>
  </si>
  <si>
    <t>Publication Month</t>
  </si>
  <si>
    <t>Artwork Deadline</t>
  </si>
  <si>
    <t>Ad to HC for approval</t>
  </si>
  <si>
    <t>Size</t>
  </si>
  <si>
    <t>Circulation</t>
  </si>
  <si>
    <t># of Ads</t>
  </si>
  <si>
    <t>Cost to HC</t>
  </si>
  <si>
    <t>Orchard, Nuts and Vines</t>
  </si>
  <si>
    <t>1/4 page 5.125" wide x 5" tall</t>
  </si>
  <si>
    <t xml:space="preserve">Dairy </t>
  </si>
  <si>
    <t>Innovation &amp; Technology</t>
  </si>
  <si>
    <t>Nursery</t>
  </si>
  <si>
    <t>Viticulture</t>
  </si>
  <si>
    <t>Willamette Valley Ag Expo</t>
  </si>
  <si>
    <t>News Section Ad</t>
  </si>
  <si>
    <t xml:space="preserve">Spring </t>
  </si>
  <si>
    <t>May</t>
  </si>
  <si>
    <t>1/2 page horizontal 7.5x4.875</t>
  </si>
  <si>
    <t xml:space="preserve">Fall </t>
  </si>
  <si>
    <t>October</t>
  </si>
  <si>
    <t xml:space="preserve">Winter </t>
  </si>
  <si>
    <t>April/May</t>
  </si>
  <si>
    <t>vertical 4.75" x 7.5"</t>
  </si>
  <si>
    <t>November</t>
  </si>
  <si>
    <t>January</t>
  </si>
  <si>
    <t>Spring</t>
  </si>
  <si>
    <t>Summer</t>
  </si>
  <si>
    <t>Northwest Producers Directory</t>
  </si>
  <si>
    <t xml:space="preserve">Annual </t>
  </si>
  <si>
    <t xml:space="preserve">Half Page Ad - full color </t>
  </si>
  <si>
    <t>Special section Progress</t>
  </si>
  <si>
    <t xml:space="preserve">April </t>
  </si>
  <si>
    <t xml:space="preserve">Special section Round up </t>
  </si>
  <si>
    <t xml:space="preserve">August </t>
  </si>
  <si>
    <t>Newspaper</t>
  </si>
  <si>
    <t xml:space="preserve">Hay Special Seciton </t>
  </si>
  <si>
    <t>Wheat, Barley, Alternative Crops</t>
  </si>
  <si>
    <t>Potato industry</t>
  </si>
  <si>
    <t>Wheat growers convention</t>
  </si>
  <si>
    <t xml:space="preserve">December </t>
  </si>
  <si>
    <t xml:space="preserve"> 8.25" x 5" w/Bleed</t>
  </si>
  <si>
    <t xml:space="preserve"> 7.37"wide X 4.875" high</t>
  </si>
  <si>
    <t xml:space="preserve"> 8.5" x 10.25"</t>
  </si>
  <si>
    <t>January - Family/Farming/Livestock</t>
  </si>
  <si>
    <t>8 X 3.5</t>
  </si>
  <si>
    <t>February - Family/Farming/Livestock</t>
  </si>
  <si>
    <t>March - Family/Farming/Livestock</t>
  </si>
  <si>
    <t xml:space="preserve">December 12 - Newsmaker </t>
  </si>
  <si>
    <t>January 13th - Newsmaker</t>
  </si>
  <si>
    <t>January 20th - Catlle Genetics</t>
  </si>
  <si>
    <t>February 10th - Cattle</t>
  </si>
  <si>
    <t>February 24th - FFA</t>
  </si>
  <si>
    <t>March 17th - Wheat</t>
  </si>
  <si>
    <t>December</t>
  </si>
  <si>
    <t>6 X 5</t>
  </si>
  <si>
    <t>February</t>
  </si>
  <si>
    <t>4.25 x 2.5</t>
  </si>
  <si>
    <t>Other Annual Ads</t>
  </si>
  <si>
    <t>Oregon Seed League Annual Meeting Program Directory</t>
  </si>
  <si>
    <t>Oregon Hay &amp; Forage Association Directory</t>
  </si>
  <si>
    <t>Oregon Cattlemen's Association Membership Directory</t>
  </si>
  <si>
    <t>Nut Growers Society Growers Handbook (Hazelnuts)</t>
  </si>
  <si>
    <t>Willamette Valley Ag Show Program (Quarenburg Publishing)</t>
  </si>
  <si>
    <t>FFA State Convention Program</t>
  </si>
  <si>
    <t>Artwork September</t>
  </si>
  <si>
    <t>Oregon Wheat Growers League</t>
  </si>
  <si>
    <t xml:space="preserve">Artwork June </t>
  </si>
  <si>
    <t xml:space="preserve">Once per year Ad </t>
  </si>
  <si>
    <t>Arwork due May</t>
  </si>
  <si>
    <t>Full page $440</t>
  </si>
  <si>
    <t xml:space="preserve">2023 TOTAL Budget </t>
  </si>
  <si>
    <t>Jr Page 8" x 8"</t>
  </si>
  <si>
    <t>done</t>
  </si>
  <si>
    <t xml:space="preserve">DESIGN AND PM ONLY </t>
  </si>
  <si>
    <r>
      <t xml:space="preserve">Oregon Seed Magazine - </t>
    </r>
    <r>
      <rPr>
        <sz val="10"/>
        <color theme="1"/>
        <rFont val="Calibri (Body)"/>
      </rPr>
      <t>Shawn Anderson</t>
    </r>
  </si>
  <si>
    <r>
      <t xml:space="preserve">Capial Press - </t>
    </r>
    <r>
      <rPr>
        <sz val="10"/>
        <color theme="1"/>
        <rFont val="Calibri (Body)"/>
      </rPr>
      <t>Patty Gilbert</t>
    </r>
  </si>
  <si>
    <r>
      <t xml:space="preserve">Oregon Cattleman - </t>
    </r>
    <r>
      <rPr>
        <sz val="10"/>
        <color theme="1"/>
        <rFont val="Calibri (Body)"/>
      </rPr>
      <t>Patty Gilbert</t>
    </r>
  </si>
  <si>
    <r>
      <t xml:space="preserve">The RangeWriter - </t>
    </r>
    <r>
      <rPr>
        <sz val="10"/>
        <color theme="1"/>
        <rFont val="Calibri (Body)"/>
      </rPr>
      <t>Jill Huskey</t>
    </r>
  </si>
  <si>
    <r>
      <t xml:space="preserve">Oregon AgLink - </t>
    </r>
    <r>
      <rPr>
        <sz val="10"/>
        <color theme="1"/>
        <rFont val="Calibri (Body)"/>
      </rPr>
      <t>Allison Cloo</t>
    </r>
  </si>
  <si>
    <r>
      <t xml:space="preserve">Lake County Examiner - </t>
    </r>
    <r>
      <rPr>
        <sz val="10"/>
        <color theme="1"/>
        <rFont val="Calibri (Body)"/>
      </rPr>
      <t>Ryan Miller</t>
    </r>
  </si>
  <si>
    <r>
      <t xml:space="preserve">Ag Proud ID - </t>
    </r>
    <r>
      <rPr>
        <sz val="10"/>
        <color theme="1"/>
        <rFont val="Calibri (Body)"/>
      </rPr>
      <t>Derek Coates</t>
    </r>
  </si>
  <si>
    <r>
      <t xml:space="preserve">High Plains Journal - NE &amp; SD locations only - </t>
    </r>
    <r>
      <rPr>
        <sz val="10"/>
        <color theme="1"/>
        <rFont val="Calibri (Body)"/>
      </rPr>
      <t>Jim Martin</t>
    </r>
  </si>
  <si>
    <r>
      <t xml:space="preserve">Valley Voice - NE Location Only - </t>
    </r>
    <r>
      <rPr>
        <sz val="10"/>
        <color theme="1"/>
        <rFont val="Calibri (Body)"/>
      </rPr>
      <t xml:space="preserve">valleyvoicenebraska@gmail.com </t>
    </r>
  </si>
  <si>
    <t xml:space="preserve">Ad # </t>
  </si>
  <si>
    <t>CP423</t>
  </si>
  <si>
    <t>CP623</t>
  </si>
  <si>
    <t>CP723</t>
  </si>
  <si>
    <t>CP823</t>
  </si>
  <si>
    <t>CP923</t>
  </si>
  <si>
    <t>CP1023</t>
  </si>
  <si>
    <t>CP1123</t>
  </si>
  <si>
    <t>CP224</t>
  </si>
  <si>
    <t>OS523</t>
  </si>
  <si>
    <t>OS823</t>
  </si>
  <si>
    <t>February '24</t>
  </si>
  <si>
    <t>OS224</t>
  </si>
  <si>
    <t>OC423</t>
  </si>
  <si>
    <t>OC723</t>
  </si>
  <si>
    <t>OC1023</t>
  </si>
  <si>
    <t>TR723</t>
  </si>
  <si>
    <t>TR124</t>
  </si>
  <si>
    <t>OA623</t>
  </si>
  <si>
    <t>OA1023</t>
  </si>
  <si>
    <t>LC423</t>
  </si>
  <si>
    <t>LC823</t>
  </si>
  <si>
    <t>LC1223</t>
  </si>
  <si>
    <t>AT523</t>
  </si>
  <si>
    <t>AT623</t>
  </si>
  <si>
    <t>AT923</t>
  </si>
  <si>
    <t>AT1223</t>
  </si>
  <si>
    <t>HP323</t>
  </si>
  <si>
    <t xml:space="preserve">July/August </t>
  </si>
  <si>
    <t>Completed</t>
  </si>
  <si>
    <t>March</t>
  </si>
  <si>
    <t>April</t>
  </si>
  <si>
    <t>June</t>
  </si>
  <si>
    <t>4 X 4</t>
  </si>
  <si>
    <t>September</t>
  </si>
  <si>
    <t>July</t>
  </si>
  <si>
    <t>4 x 4</t>
  </si>
  <si>
    <t>Aug</t>
  </si>
  <si>
    <t>Sept</t>
  </si>
  <si>
    <r>
      <t xml:space="preserve">Agri-Times NW - </t>
    </r>
    <r>
      <rPr>
        <sz val="10"/>
        <color theme="1"/>
        <rFont val="Calibri (Body)"/>
      </rPr>
      <t>Brianna Walker</t>
    </r>
  </si>
  <si>
    <t>Oct</t>
  </si>
  <si>
    <t>Nov</t>
  </si>
  <si>
    <t>Dec</t>
  </si>
  <si>
    <t>DESIGN ONLY</t>
  </si>
  <si>
    <t>Client Charge</t>
  </si>
  <si>
    <t>NW Ag Show Guide</t>
  </si>
  <si>
    <t>CP124</t>
  </si>
  <si>
    <t>Didn't Run</t>
  </si>
  <si>
    <r>
      <t xml:space="preserve">McCook Gazette - NE -
</t>
    </r>
    <r>
      <rPr>
        <sz val="10"/>
        <color theme="1"/>
        <rFont val="Calibri (Body)"/>
      </rPr>
      <t>Kenneth Morgan</t>
    </r>
  </si>
  <si>
    <t>MG1123</t>
  </si>
  <si>
    <t>Didn’t Run</t>
  </si>
  <si>
    <t>MG1223</t>
  </si>
  <si>
    <t>Central Oregon Farm Fair</t>
  </si>
  <si>
    <t>Seed &amp; Row Crops</t>
  </si>
  <si>
    <t>Orchards, Nuts &amp; Vines</t>
  </si>
  <si>
    <t>Water</t>
  </si>
  <si>
    <t xml:space="preserve">Lake County Fair &amp; Round up </t>
  </si>
  <si>
    <t>Ranch, Farm &amp; Timber</t>
  </si>
  <si>
    <t>Livestock Sales</t>
  </si>
  <si>
    <t>Hay Special Edition</t>
  </si>
  <si>
    <t>Markup %</t>
  </si>
  <si>
    <t>Designed</t>
  </si>
  <si>
    <t>Ad Cost</t>
  </si>
  <si>
    <t xml:space="preserve"> 8.25" x 5" w/Bleed - 1/2 pg</t>
  </si>
  <si>
    <t>Y</t>
  </si>
  <si>
    <r>
      <t xml:space="preserve">Oregon AgLink - 
</t>
    </r>
    <r>
      <rPr>
        <sz val="10"/>
        <color theme="1"/>
        <rFont val="Calibri (Body)"/>
      </rPr>
      <t>Allison Cloo</t>
    </r>
  </si>
  <si>
    <r>
      <t xml:space="preserve">The RangeWriter - 
</t>
    </r>
    <r>
      <rPr>
        <sz val="10"/>
        <color theme="1"/>
        <rFont val="Calibri (Body)"/>
      </rPr>
      <t>Jill Huskey</t>
    </r>
  </si>
  <si>
    <r>
      <t xml:space="preserve">Oregon Seed Magazine - 
</t>
    </r>
    <r>
      <rPr>
        <sz val="10"/>
        <color theme="1"/>
        <rFont val="Calibri (Body)"/>
      </rPr>
      <t>Shawn Anderson</t>
    </r>
  </si>
  <si>
    <r>
      <t xml:space="preserve">Capital Press - 
</t>
    </r>
    <r>
      <rPr>
        <sz val="10"/>
        <color theme="1"/>
        <rFont val="Calibri (Body)"/>
      </rPr>
      <t>Patty Gilbert</t>
    </r>
  </si>
  <si>
    <r>
      <t xml:space="preserve">Agri-Times NW - 
</t>
    </r>
    <r>
      <rPr>
        <sz val="10"/>
        <color theme="1"/>
        <rFont val="Calibri (Body)"/>
      </rPr>
      <t>Brianna Walker
AJ Wentland</t>
    </r>
  </si>
  <si>
    <t>Northwest Producers Directory
qpco@msn.com</t>
  </si>
  <si>
    <t>OS524</t>
  </si>
  <si>
    <t>OS1024</t>
  </si>
  <si>
    <t>OS225</t>
  </si>
  <si>
    <t>OA224</t>
  </si>
  <si>
    <t>OA624</t>
  </si>
  <si>
    <t>OA1024</t>
  </si>
  <si>
    <t>LC124</t>
  </si>
  <si>
    <t>LC824</t>
  </si>
  <si>
    <t>AT224</t>
  </si>
  <si>
    <t>AT524</t>
  </si>
  <si>
    <t>AT924</t>
  </si>
  <si>
    <t>AT1224</t>
  </si>
  <si>
    <t>NP124</t>
  </si>
  <si>
    <t>Design Invoiced</t>
  </si>
  <si>
    <t>Placement Invoiced</t>
  </si>
  <si>
    <t>July/August</t>
  </si>
  <si>
    <t>1/2 page vertical 4.75" x 7.5"</t>
  </si>
  <si>
    <t>CP324</t>
  </si>
  <si>
    <t>CP424</t>
  </si>
  <si>
    <t>CP924</t>
  </si>
  <si>
    <t>CP1024</t>
  </si>
  <si>
    <t>CP1124</t>
  </si>
  <si>
    <t>OC424</t>
  </si>
  <si>
    <t>OC1024</t>
  </si>
  <si>
    <t>CP824</t>
  </si>
  <si>
    <t>TR624</t>
  </si>
  <si>
    <t>TR225</t>
  </si>
  <si>
    <t>Reserved/
Ordered?</t>
  </si>
  <si>
    <t>TBD</t>
  </si>
  <si>
    <t xml:space="preserve">Estimated 2024 TOTAL Budget </t>
  </si>
  <si>
    <t>Sent to HCC</t>
  </si>
  <si>
    <t>Sent to Publication</t>
  </si>
  <si>
    <t>Artwork due March 31, 2024</t>
  </si>
  <si>
    <t>Half page 4.25" x 3.5"</t>
  </si>
  <si>
    <t>y</t>
  </si>
  <si>
    <t>Additional Projects/Add-ons</t>
  </si>
  <si>
    <t>PUBLICATION NOT RUNNING</t>
  </si>
  <si>
    <t>OC724</t>
  </si>
  <si>
    <t>DISCONTINUED DIRECTORY JULY 2023</t>
  </si>
  <si>
    <r>
      <t xml:space="preserve">Lake County Examiner
</t>
    </r>
    <r>
      <rPr>
        <sz val="10"/>
        <color theme="1"/>
        <rFont val="Calibri (Body)"/>
      </rPr>
      <t>Heather Pochop</t>
    </r>
  </si>
  <si>
    <t>June/July</t>
  </si>
  <si>
    <t>Annual Ads</t>
  </si>
  <si>
    <t>August</t>
  </si>
  <si>
    <t>reused ad from last year</t>
  </si>
  <si>
    <t>changed year on ad for credit line rates</t>
  </si>
  <si>
    <t>Artwork Due October 1</t>
  </si>
  <si>
    <t>RoyceAnn reusing ad from last year</t>
  </si>
  <si>
    <t>Event: May 9-11, 2024</t>
  </si>
  <si>
    <t xml:space="preserve">Capital Press </t>
  </si>
  <si>
    <t>1/4 page 5.125"wide x5" tall</t>
  </si>
  <si>
    <t>CP125</t>
  </si>
  <si>
    <t>NW Ag Show Special Edition</t>
  </si>
  <si>
    <t>TOTAL</t>
  </si>
  <si>
    <t>Post Cards to Clients</t>
  </si>
  <si>
    <t>Print Post Cards with Mailing address on them</t>
  </si>
  <si>
    <t>525 total</t>
  </si>
  <si>
    <t>Christmas Cards</t>
  </si>
  <si>
    <t>print cards/envelopes, mail to address list</t>
  </si>
  <si>
    <t>376 total</t>
  </si>
  <si>
    <t>AP1024</t>
  </si>
  <si>
    <t>AP1224</t>
  </si>
  <si>
    <t>Fall 2025</t>
  </si>
  <si>
    <t xml:space="preserve">National Ag Week </t>
  </si>
  <si>
    <t xml:space="preserve">Irrigation Issue </t>
  </si>
  <si>
    <t xml:space="preserve">Potato Industry </t>
  </si>
  <si>
    <t xml:space="preserve">Wheat Growers Conventions </t>
  </si>
  <si>
    <t>Fall - October</t>
  </si>
  <si>
    <t>Summer - June</t>
  </si>
  <si>
    <t>Spring - February</t>
  </si>
  <si>
    <t>Artwork due March 31, 2025</t>
  </si>
  <si>
    <t>Winter Sports; Holiday Wishes</t>
  </si>
  <si>
    <r>
      <t xml:space="preserve">Agri-Times NW
</t>
    </r>
    <r>
      <rPr>
        <sz val="10"/>
        <color theme="1"/>
        <rFont val="Calibri"/>
        <family val="2"/>
        <scheme val="minor"/>
      </rPr>
      <t>Aj Wentland
Brianna Walker</t>
    </r>
  </si>
  <si>
    <r>
      <t xml:space="preserve">Oregon Wheat Growers
</t>
    </r>
    <r>
      <rPr>
        <sz val="10"/>
        <color theme="1"/>
        <rFont val="Calibri (Body)"/>
      </rPr>
      <t>Leah Anderson</t>
    </r>
  </si>
  <si>
    <r>
      <t xml:space="preserve">Idaho Grain
</t>
    </r>
    <r>
      <rPr>
        <sz val="10"/>
        <color theme="1"/>
        <rFont val="Calibri (Body)"/>
      </rPr>
      <t>Leah Anderson</t>
    </r>
  </si>
  <si>
    <t>CP325</t>
  </si>
  <si>
    <t>CP425</t>
  </si>
  <si>
    <t>CP925</t>
  </si>
  <si>
    <t>CP1125</t>
  </si>
  <si>
    <t>OS525</t>
  </si>
  <si>
    <t>OS1025</t>
  </si>
  <si>
    <t>OS226</t>
  </si>
  <si>
    <t>OC425</t>
  </si>
  <si>
    <t>OC725</t>
  </si>
  <si>
    <t>OC1025</t>
  </si>
  <si>
    <t>OA225</t>
  </si>
  <si>
    <t>AT325</t>
  </si>
  <si>
    <t>AT525</t>
  </si>
  <si>
    <t>AT925</t>
  </si>
  <si>
    <t>AT1225</t>
  </si>
  <si>
    <t>OW725</t>
  </si>
  <si>
    <t>OW1225</t>
  </si>
  <si>
    <t>IDG925</t>
  </si>
  <si>
    <t>LC125</t>
  </si>
  <si>
    <t>LC825</t>
  </si>
  <si>
    <t>LC1225</t>
  </si>
  <si>
    <t>Innovations &amp; Tech</t>
  </si>
  <si>
    <t>BBJ1225</t>
  </si>
  <si>
    <t xml:space="preserve">Estimated 2025 TOTAL Budget </t>
  </si>
  <si>
    <t>CP1025</t>
  </si>
  <si>
    <t>CP225</t>
  </si>
  <si>
    <t>Periodical</t>
  </si>
  <si>
    <t>Becky Simonds</t>
  </si>
  <si>
    <t xml:space="preserve">Hay Growers Conference/NFR World Champions </t>
  </si>
  <si>
    <t>X</t>
  </si>
  <si>
    <t xml:space="preserve"> 1/2 page 8.25" x 5" w/Bleed </t>
  </si>
  <si>
    <t>1/8 page 3.8542" x 2.4063"</t>
  </si>
  <si>
    <t xml:space="preserve"> 7.37"wide x 4.875" high</t>
  </si>
  <si>
    <t>1/4 page 3.625" x 4.675"</t>
  </si>
  <si>
    <t>Potential Magazines for 2026</t>
  </si>
  <si>
    <t>Wheat Life</t>
  </si>
  <si>
    <t>509-659-0610 - 1-877-740-2666 - Katie@wawg.org</t>
  </si>
  <si>
    <t>Contact</t>
  </si>
  <si>
    <t>Lance@wawg.org - (253) 221-7000</t>
  </si>
  <si>
    <t>WSHGA</t>
  </si>
  <si>
    <t>2025 Memebership Directory Ad</t>
  </si>
  <si>
    <t>Redesign ad from 2023 with new 2025 layout and remove quote</t>
  </si>
  <si>
    <t>Reused ad from last year (see email)</t>
  </si>
  <si>
    <t>Progress Edition</t>
  </si>
  <si>
    <t>LC425</t>
  </si>
  <si>
    <t>No Charge</t>
  </si>
  <si>
    <t>1/2 page 5.125" wide x 10" tall</t>
  </si>
  <si>
    <t>OA625</t>
  </si>
  <si>
    <t>TR825</t>
  </si>
  <si>
    <t>TR126</t>
  </si>
  <si>
    <t>September - Volume V51N2</t>
  </si>
  <si>
    <t>1/1/2026 - Volume V52N1</t>
  </si>
  <si>
    <t>7.25" x 9"</t>
  </si>
  <si>
    <t>OA1025</t>
  </si>
  <si>
    <t>Willamette Valley Ag Show Program (Quarenburg Publishing) - qpco@msn.com</t>
  </si>
  <si>
    <t>WV1025</t>
  </si>
  <si>
    <t>DESIGN/Placement</t>
  </si>
  <si>
    <t>5x4</t>
  </si>
  <si>
    <r>
      <t xml:space="preserve">Lake County Examiner
</t>
    </r>
    <r>
      <rPr>
        <sz val="10"/>
        <color theme="1"/>
        <rFont val="Calibri (Body)"/>
      </rPr>
      <t>Katelynn Odegaard</t>
    </r>
  </si>
  <si>
    <t>Fall</t>
  </si>
  <si>
    <t>Winter</t>
  </si>
  <si>
    <t>OS526</t>
  </si>
  <si>
    <t>OS1026</t>
  </si>
  <si>
    <t>OS227</t>
  </si>
  <si>
    <r>
      <t xml:space="preserve">Business Basin Journal
</t>
    </r>
    <r>
      <rPr>
        <sz val="10"/>
        <color theme="1"/>
        <rFont val="Calibri (Body)"/>
      </rPr>
      <t>Laurie Herbert</t>
    </r>
  </si>
  <si>
    <t>New Address Business Cards</t>
  </si>
  <si>
    <t>Post Cards - We've moved</t>
  </si>
  <si>
    <t>247 total</t>
  </si>
  <si>
    <t>AP1025</t>
  </si>
  <si>
    <t>383 total</t>
  </si>
  <si>
    <t>AP1125</t>
  </si>
  <si>
    <t>print cards/envelopes, mail to HCC</t>
  </si>
  <si>
    <t>Print card, Mail to HCC - 3 people</t>
  </si>
  <si>
    <t>250 total</t>
  </si>
  <si>
    <t>AP1225</t>
  </si>
  <si>
    <t>CP126</t>
  </si>
  <si>
    <t>Full Page 8.5" x 11"</t>
  </si>
  <si>
    <t>OWFREE</t>
  </si>
  <si>
    <t>Ranch Farm and Timber</t>
  </si>
  <si>
    <t>LC126</t>
  </si>
  <si>
    <t>Orchards, Nuts, &amp; Vines</t>
  </si>
  <si>
    <t>Lake County Fair &amp; Round-up/Results</t>
  </si>
  <si>
    <t>Calves, LiveStock</t>
  </si>
  <si>
    <t>Fall 2026</t>
  </si>
  <si>
    <t>CP226</t>
  </si>
  <si>
    <t>CP426</t>
  </si>
  <si>
    <t>CP926</t>
  </si>
  <si>
    <t>CP1026</t>
  </si>
  <si>
    <t>CP1126</t>
  </si>
  <si>
    <t>OC426</t>
  </si>
  <si>
    <t>OC726</t>
  </si>
  <si>
    <t>OC1026</t>
  </si>
  <si>
    <t>CP326</t>
  </si>
  <si>
    <t>1/4 page 4.938" wide x 5" tall</t>
  </si>
  <si>
    <t>1/4 page 5.125" wide x 4.917" tall</t>
  </si>
  <si>
    <t>Legislative Session Recap - August</t>
  </si>
  <si>
    <t>Post Convention Recap - December</t>
  </si>
  <si>
    <t>Free ad - May</t>
  </si>
  <si>
    <t>Unknown</t>
  </si>
  <si>
    <t>LC826</t>
  </si>
  <si>
    <t>AT526</t>
  </si>
  <si>
    <t>AT1026</t>
  </si>
  <si>
    <t>OW726</t>
  </si>
  <si>
    <t>OW1126</t>
  </si>
  <si>
    <t>Capital Press</t>
  </si>
  <si>
    <t>CP127</t>
  </si>
  <si>
    <t>Potential Magazines for 2027</t>
  </si>
  <si>
    <t>OSL1026</t>
  </si>
  <si>
    <t>NGS326</t>
  </si>
  <si>
    <t>???</t>
  </si>
  <si>
    <t>WA State Hay Growers Association</t>
  </si>
  <si>
    <t>WSHG326</t>
  </si>
  <si>
    <t>5"x 4"</t>
  </si>
  <si>
    <t>Spring 2026</t>
  </si>
  <si>
    <t xml:space="preserve">Estimated 2026 Budget </t>
  </si>
  <si>
    <t>IDG326</t>
  </si>
  <si>
    <t>IDG926</t>
  </si>
  <si>
    <t>September 2026 - V52N2</t>
  </si>
  <si>
    <t>January 2027 - V53N1</t>
  </si>
  <si>
    <t>TR826</t>
  </si>
  <si>
    <t>TR127</t>
  </si>
  <si>
    <t>2026 Memebership Directory Ad</t>
  </si>
  <si>
    <t>Nut Growers Society Handbook (Hazelnuts)</t>
  </si>
  <si>
    <t>OWG</t>
  </si>
  <si>
    <t>WV1026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</si>
</sst>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mmm\-yy;@"/>
    <numFmt numFmtId="166" formatCode="&quot;Done&quot;;&quot; &quot;;&quot; &quot;"/>
    <numFmt numFmtId="167" formatCode="_(* #,##0_);_(* \(#,##0\);_(* &quot;-&quot;??_);_(@_)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 (Body)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C00000"/>
      <name val="Calibri (Body)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34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2" borderId="3" xfId="0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5" xfId="0" applyNumberFormat="1" applyBorder="1"/>
    <xf numFmtId="0" fontId="2" fillId="0" borderId="1" xfId="1" applyBorder="1" applyAlignment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0" fillId="6" borderId="3" xfId="0" applyFill="1" applyBorder="1"/>
    <xf numFmtId="14" fontId="0" fillId="6" borderId="1" xfId="0" applyNumberFormat="1" applyFill="1" applyBorder="1"/>
    <xf numFmtId="0" fontId="0" fillId="6" borderId="1" xfId="0" applyFill="1" applyBorder="1"/>
    <xf numFmtId="3" fontId="0" fillId="6" borderId="1" xfId="0" applyNumberFormat="1" applyFill="1" applyBorder="1"/>
    <xf numFmtId="164" fontId="0" fillId="6" borderId="5" xfId="0" applyNumberFormat="1" applyFill="1" applyBorder="1"/>
    <xf numFmtId="14" fontId="0" fillId="6" borderId="1" xfId="0" applyNumberFormat="1" applyFill="1" applyBorder="1" applyAlignment="1">
      <alignment wrapText="1"/>
    </xf>
    <xf numFmtId="16" fontId="0" fillId="6" borderId="1" xfId="0" applyNumberFormat="1" applyFill="1" applyBorder="1"/>
    <xf numFmtId="164" fontId="0" fillId="6" borderId="4" xfId="0" applyNumberFormat="1" applyFill="1" applyBorder="1"/>
    <xf numFmtId="0" fontId="0" fillId="6" borderId="0" xfId="0" applyFill="1"/>
    <xf numFmtId="164" fontId="0" fillId="7" borderId="6" xfId="0" applyNumberFormat="1" applyFill="1" applyBorder="1"/>
    <xf numFmtId="164" fontId="0" fillId="7" borderId="0" xfId="0" applyNumberFormat="1" applyFill="1"/>
    <xf numFmtId="164" fontId="0" fillId="7" borderId="5" xfId="0" applyNumberFormat="1" applyFill="1" applyBorder="1"/>
    <xf numFmtId="0" fontId="0" fillId="0" borderId="5" xfId="0" applyBorder="1" applyAlignment="1">
      <alignment horizontal="center" vertical="center" wrapText="1"/>
    </xf>
    <xf numFmtId="164" fontId="0" fillId="6" borderId="1" xfId="0" applyNumberFormat="1" applyFill="1" applyBorder="1"/>
    <xf numFmtId="164" fontId="0" fillId="6" borderId="6" xfId="0" applyNumberFormat="1" applyFill="1" applyBorder="1"/>
    <xf numFmtId="0" fontId="0" fillId="6" borderId="8" xfId="0" applyFill="1" applyBorder="1"/>
    <xf numFmtId="16" fontId="0" fillId="6" borderId="8" xfId="0" applyNumberFormat="1" applyFill="1" applyBorder="1"/>
    <xf numFmtId="16" fontId="0" fillId="6" borderId="7" xfId="0" applyNumberFormat="1" applyFill="1" applyBorder="1"/>
    <xf numFmtId="0" fontId="0" fillId="6" borderId="7" xfId="0" applyFill="1" applyBorder="1"/>
    <xf numFmtId="164" fontId="0" fillId="6" borderId="7" xfId="0" applyNumberFormat="1" applyFill="1" applyBorder="1"/>
    <xf numFmtId="165" fontId="0" fillId="6" borderId="7" xfId="0" applyNumberFormat="1" applyFill="1" applyBorder="1" applyAlignment="1">
      <alignment horizontal="left"/>
    </xf>
    <xf numFmtId="0" fontId="0" fillId="0" borderId="7" xfId="0" applyBorder="1"/>
    <xf numFmtId="164" fontId="0" fillId="0" borderId="7" xfId="0" applyNumberFormat="1" applyBorder="1"/>
    <xf numFmtId="0" fontId="5" fillId="7" borderId="9" xfId="0" applyFont="1" applyFill="1" applyBorder="1"/>
    <xf numFmtId="0" fontId="6" fillId="7" borderId="10" xfId="0" applyFont="1" applyFill="1" applyBorder="1"/>
    <xf numFmtId="164" fontId="6" fillId="7" borderId="11" xfId="0" applyNumberFormat="1" applyFont="1" applyFill="1" applyBorder="1"/>
    <xf numFmtId="0" fontId="0" fillId="6" borderId="9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14" fontId="0" fillId="6" borderId="7" xfId="0" applyNumberFormat="1" applyFill="1" applyBorder="1"/>
    <xf numFmtId="0" fontId="0" fillId="0" borderId="14" xfId="0" applyBorder="1"/>
    <xf numFmtId="164" fontId="0" fillId="0" borderId="14" xfId="0" applyNumberFormat="1" applyBorder="1"/>
    <xf numFmtId="0" fontId="0" fillId="0" borderId="15" xfId="0" applyBorder="1"/>
    <xf numFmtId="164" fontId="0" fillId="0" borderId="15" xfId="0" applyNumberFormat="1" applyBorder="1"/>
    <xf numFmtId="0" fontId="0" fillId="2" borderId="8" xfId="0" applyFill="1" applyBorder="1"/>
    <xf numFmtId="164" fontId="0" fillId="7" borderId="4" xfId="0" applyNumberFormat="1" applyFill="1" applyBorder="1"/>
    <xf numFmtId="0" fontId="0" fillId="0" borderId="8" xfId="0" applyBorder="1"/>
    <xf numFmtId="0" fontId="7" fillId="8" borderId="3" xfId="0" applyFont="1" applyFill="1" applyBorder="1"/>
    <xf numFmtId="14" fontId="7" fillId="8" borderId="1" xfId="0" applyNumberFormat="1" applyFont="1" applyFill="1" applyBorder="1"/>
    <xf numFmtId="14" fontId="7" fillId="8" borderId="1" xfId="0" applyNumberFormat="1" applyFont="1" applyFill="1" applyBorder="1" applyAlignment="1">
      <alignment wrapText="1"/>
    </xf>
    <xf numFmtId="0" fontId="7" fillId="8" borderId="1" xfId="0" applyFont="1" applyFill="1" applyBorder="1"/>
    <xf numFmtId="164" fontId="7" fillId="8" borderId="5" xfId="0" applyNumberFormat="1" applyFont="1" applyFill="1" applyBorder="1"/>
    <xf numFmtId="9" fontId="0" fillId="0" borderId="0" xfId="0" applyNumberFormat="1"/>
    <xf numFmtId="164" fontId="0" fillId="7" borderId="1" xfId="0" applyNumberFormat="1" applyFill="1" applyBorder="1"/>
    <xf numFmtId="0" fontId="7" fillId="8" borderId="0" xfId="0" applyFont="1" applyFill="1"/>
    <xf numFmtId="0" fontId="0" fillId="2" borderId="2" xfId="0" applyFill="1" applyBorder="1" applyAlignment="1">
      <alignment vertical="center" wrapText="1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3" xfId="0" applyBorder="1"/>
    <xf numFmtId="0" fontId="1" fillId="5" borderId="7" xfId="0" applyFont="1" applyFill="1" applyBorder="1" applyAlignment="1">
      <alignment horizontal="center" vertical="center"/>
    </xf>
    <xf numFmtId="9" fontId="0" fillId="0" borderId="7" xfId="2" applyFont="1" applyBorder="1" applyProtection="1"/>
    <xf numFmtId="0" fontId="0" fillId="0" borderId="7" xfId="0" applyBorder="1" applyAlignment="1">
      <alignment wrapText="1"/>
    </xf>
    <xf numFmtId="164" fontId="0" fillId="2" borderId="7" xfId="0" applyNumberFormat="1" applyFill="1" applyBorder="1"/>
    <xf numFmtId="0" fontId="0" fillId="2" borderId="7" xfId="0" applyFill="1" applyBorder="1"/>
    <xf numFmtId="0" fontId="1" fillId="5" borderId="2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9" fontId="0" fillId="0" borderId="7" xfId="0" applyNumberFormat="1" applyBorder="1"/>
    <xf numFmtId="0" fontId="0" fillId="2" borderId="5" xfId="0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9" fontId="0" fillId="0" borderId="7" xfId="2" applyFont="1" applyFill="1" applyBorder="1" applyAlignment="1" applyProtection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164" fontId="0" fillId="0" borderId="11" xfId="0" applyNumberFormat="1" applyBorder="1"/>
    <xf numFmtId="164" fontId="0" fillId="2" borderId="11" xfId="0" applyNumberFormat="1" applyFill="1" applyBorder="1"/>
    <xf numFmtId="164" fontId="0" fillId="0" borderId="11" xfId="0" applyNumberFormat="1" applyBorder="1" applyAlignment="1">
      <alignment vertical="center" wrapText="1"/>
    </xf>
    <xf numFmtId="0" fontId="1" fillId="5" borderId="8" xfId="0" applyFont="1" applyFill="1" applyBorder="1" applyAlignment="1">
      <alignment horizontal="center" vertical="center"/>
    </xf>
    <xf numFmtId="164" fontId="0" fillId="7" borderId="2" xfId="0" applyNumberFormat="1" applyFill="1" applyBorder="1"/>
    <xf numFmtId="164" fontId="0" fillId="7" borderId="19" xfId="0" applyNumberFormat="1" applyFill="1" applyBorder="1"/>
    <xf numFmtId="0" fontId="0" fillId="6" borderId="5" xfId="0" applyFill="1" applyBorder="1" applyAlignment="1">
      <alignment horizontal="center"/>
    </xf>
    <xf numFmtId="164" fontId="0" fillId="6" borderId="25" xfId="0" applyNumberFormat="1" applyFill="1" applyBorder="1"/>
    <xf numFmtId="0" fontId="0" fillId="6" borderId="19" xfId="0" applyFill="1" applyBorder="1"/>
    <xf numFmtId="14" fontId="0" fillId="6" borderId="8" xfId="0" applyNumberFormat="1" applyFill="1" applyBorder="1"/>
    <xf numFmtId="3" fontId="0" fillId="6" borderId="7" xfId="0" applyNumberFormat="1" applyFill="1" applyBorder="1"/>
    <xf numFmtId="0" fontId="0" fillId="6" borderId="9" xfId="0" applyFill="1" applyBorder="1"/>
    <xf numFmtId="0" fontId="0" fillId="6" borderId="24" xfId="0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0" fillId="6" borderId="5" xfId="0" applyFill="1" applyBorder="1"/>
    <xf numFmtId="0" fontId="0" fillId="6" borderId="24" xfId="0" applyFill="1" applyBorder="1" applyAlignment="1">
      <alignment horizontal="center"/>
    </xf>
    <xf numFmtId="0" fontId="0" fillId="6" borderId="1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7" xfId="0" applyFont="1" applyBorder="1"/>
    <xf numFmtId="164" fontId="10" fillId="0" borderId="7" xfId="0" applyNumberFormat="1" applyFont="1" applyBorder="1"/>
    <xf numFmtId="0" fontId="10" fillId="0" borderId="10" xfId="0" applyFont="1" applyBorder="1" applyAlignment="1">
      <alignment horizontal="left"/>
    </xf>
    <xf numFmtId="0" fontId="11" fillId="0" borderId="7" xfId="0" applyFont="1" applyBorder="1"/>
    <xf numFmtId="0" fontId="5" fillId="5" borderId="9" xfId="0" applyFont="1" applyFill="1" applyBorder="1" applyAlignment="1">
      <alignment horizontal="left"/>
    </xf>
    <xf numFmtId="0" fontId="0" fillId="0" borderId="9" xfId="0" applyBorder="1"/>
    <xf numFmtId="0" fontId="0" fillId="2" borderId="21" xfId="0" applyFill="1" applyBorder="1"/>
    <xf numFmtId="14" fontId="0" fillId="2" borderId="8" xfId="0" applyNumberFormat="1" applyFill="1" applyBorder="1"/>
    <xf numFmtId="0" fontId="0" fillId="2" borderId="22" xfId="0" applyFill="1" applyBorder="1" applyAlignment="1">
      <alignment horizontal="center"/>
    </xf>
    <xf numFmtId="164" fontId="0" fillId="7" borderId="8" xfId="0" applyNumberFormat="1" applyFill="1" applyBorder="1"/>
    <xf numFmtId="164" fontId="0" fillId="2" borderId="26" xfId="0" applyNumberFormat="1" applyFill="1" applyBorder="1"/>
    <xf numFmtId="0" fontId="0" fillId="2" borderId="27" xfId="0" applyFill="1" applyBorder="1"/>
    <xf numFmtId="0" fontId="0" fillId="2" borderId="27" xfId="0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9" fontId="0" fillId="2" borderId="0" xfId="0" applyNumberFormat="1" applyFill="1"/>
    <xf numFmtId="0" fontId="0" fillId="6" borderId="0" xfId="0" applyFill="1" applyAlignment="1">
      <alignment horizontal="center" vertical="top" wrapText="1"/>
    </xf>
    <xf numFmtId="0" fontId="0" fillId="6" borderId="7" xfId="0" applyFill="1" applyBorder="1" applyAlignment="1">
      <alignment horizontal="center" vertical="top" wrapText="1"/>
    </xf>
    <xf numFmtId="0" fontId="0" fillId="6" borderId="14" xfId="0" applyFill="1" applyBorder="1"/>
    <xf numFmtId="164" fontId="0" fillId="6" borderId="14" xfId="0" applyNumberFormat="1" applyFill="1" applyBorder="1"/>
    <xf numFmtId="0" fontId="0" fillId="6" borderId="3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vertical="center" wrapText="1"/>
    </xf>
    <xf numFmtId="164" fontId="0" fillId="6" borderId="25" xfId="0" applyNumberFormat="1" applyFill="1" applyBorder="1" applyAlignment="1">
      <alignment vertical="center"/>
    </xf>
    <xf numFmtId="14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5" xfId="0" applyFill="1" applyBorder="1" applyAlignment="1">
      <alignment horizontal="center" vertical="center" wrapText="1"/>
    </xf>
    <xf numFmtId="0" fontId="0" fillId="6" borderId="21" xfId="0" applyFill="1" applyBorder="1"/>
    <xf numFmtId="0" fontId="0" fillId="6" borderId="22" xfId="0" applyFill="1" applyBorder="1"/>
    <xf numFmtId="0" fontId="1" fillId="0" borderId="7" xfId="0" applyFont="1" applyBorder="1" applyAlignment="1">
      <alignment horizontal="right"/>
    </xf>
    <xf numFmtId="164" fontId="0" fillId="0" borderId="9" xfId="0" applyNumberFormat="1" applyBorder="1"/>
    <xf numFmtId="164" fontId="0" fillId="6" borderId="28" xfId="0" applyNumberFormat="1" applyFill="1" applyBorder="1"/>
    <xf numFmtId="17" fontId="0" fillId="6" borderId="3" xfId="0" applyNumberFormat="1" applyFill="1" applyBorder="1" applyAlignment="1">
      <alignment horizontal="left"/>
    </xf>
    <xf numFmtId="0" fontId="0" fillId="0" borderId="29" xfId="0" applyBorder="1"/>
    <xf numFmtId="0" fontId="0" fillId="2" borderId="19" xfId="0" applyFill="1" applyBorder="1"/>
    <xf numFmtId="14" fontId="0" fillId="2" borderId="20" xfId="0" applyNumberFormat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8" xfId="0" applyFill="1" applyBorder="1" applyAlignment="1">
      <alignment horizontal="center" vertical="center"/>
    </xf>
    <xf numFmtId="166" fontId="12" fillId="2" borderId="8" xfId="0" applyNumberFormat="1" applyFont="1" applyFill="1" applyBorder="1" applyAlignment="1">
      <alignment horizontal="left" vertical="center"/>
    </xf>
    <xf numFmtId="164" fontId="0" fillId="7" borderId="31" xfId="0" applyNumberFormat="1" applyFill="1" applyBorder="1"/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164" fontId="0" fillId="6" borderId="11" xfId="0" applyNumberFormat="1" applyFill="1" applyBorder="1"/>
    <xf numFmtId="167" fontId="0" fillId="6" borderId="1" xfId="3" applyNumberFormat="1" applyFont="1" applyFill="1" applyBorder="1"/>
    <xf numFmtId="9" fontId="0" fillId="0" borderId="0" xfId="2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14" fontId="14" fillId="0" borderId="0" xfId="0" applyNumberFormat="1" applyFont="1" applyAlignment="1">
      <alignment vertical="center" wrapText="1"/>
    </xf>
    <xf numFmtId="14" fontId="0" fillId="0" borderId="0" xfId="0" applyNumberFormat="1"/>
    <xf numFmtId="167" fontId="0" fillId="0" borderId="0" xfId="3" applyNumberFormat="1" applyFont="1" applyFill="1" applyBorder="1"/>
    <xf numFmtId="0" fontId="0" fillId="0" borderId="0" xfId="0" applyAlignment="1">
      <alignment horizontal="center"/>
    </xf>
    <xf numFmtId="0" fontId="5" fillId="5" borderId="1" xfId="0" applyFont="1" applyFill="1" applyBorder="1"/>
    <xf numFmtId="0" fontId="1" fillId="5" borderId="1" xfId="0" applyFont="1" applyFill="1" applyBorder="1"/>
    <xf numFmtId="167" fontId="14" fillId="0" borderId="1" xfId="3" applyNumberFormat="1" applyFont="1" applyBorder="1" applyAlignment="1">
      <alignment vertical="center" wrapText="1"/>
    </xf>
    <xf numFmtId="164" fontId="6" fillId="7" borderId="10" xfId="0" applyNumberFormat="1" applyFont="1" applyFill="1" applyBorder="1"/>
    <xf numFmtId="164" fontId="6" fillId="7" borderId="1" xfId="0" applyNumberFormat="1" applyFont="1" applyFill="1" applyBorder="1"/>
    <xf numFmtId="0" fontId="10" fillId="10" borderId="1" xfId="0" applyFont="1" applyFill="1" applyBorder="1"/>
    <xf numFmtId="14" fontId="10" fillId="10" borderId="1" xfId="0" applyNumberFormat="1" applyFont="1" applyFill="1" applyBorder="1"/>
    <xf numFmtId="167" fontId="10" fillId="10" borderId="1" xfId="3" applyNumberFormat="1" applyFont="1" applyFill="1" applyBorder="1"/>
    <xf numFmtId="0" fontId="10" fillId="10" borderId="5" xfId="0" applyFont="1" applyFill="1" applyBorder="1" applyAlignment="1">
      <alignment horizontal="center"/>
    </xf>
    <xf numFmtId="164" fontId="10" fillId="10" borderId="25" xfId="0" applyNumberFormat="1" applyFont="1" applyFill="1" applyBorder="1"/>
    <xf numFmtId="164" fontId="10" fillId="10" borderId="11" xfId="0" applyNumberFormat="1" applyFont="1" applyFill="1" applyBorder="1"/>
    <xf numFmtId="14" fontId="10" fillId="10" borderId="8" xfId="0" applyNumberFormat="1" applyFont="1" applyFill="1" applyBorder="1"/>
    <xf numFmtId="0" fontId="10" fillId="10" borderId="8" xfId="0" applyFont="1" applyFill="1" applyBorder="1"/>
    <xf numFmtId="3" fontId="10" fillId="10" borderId="7" xfId="0" applyNumberFormat="1" applyFont="1" applyFill="1" applyBorder="1"/>
    <xf numFmtId="0" fontId="10" fillId="10" borderId="9" xfId="0" applyFont="1" applyFill="1" applyBorder="1"/>
    <xf numFmtId="0" fontId="10" fillId="10" borderId="24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vertical="center" wrapText="1"/>
    </xf>
    <xf numFmtId="14" fontId="14" fillId="6" borderId="1" xfId="0" applyNumberFormat="1" applyFont="1" applyFill="1" applyBorder="1" applyAlignment="1">
      <alignment vertical="center" wrapText="1"/>
    </xf>
    <xf numFmtId="14" fontId="0" fillId="6" borderId="3" xfId="0" applyNumberFormat="1" applyFill="1" applyBorder="1"/>
    <xf numFmtId="164" fontId="0" fillId="6" borderId="30" xfId="0" applyNumberFormat="1" applyFill="1" applyBorder="1"/>
    <xf numFmtId="0" fontId="0" fillId="0" borderId="11" xfId="0" applyBorder="1"/>
    <xf numFmtId="164" fontId="10" fillId="10" borderId="33" xfId="0" applyNumberFormat="1" applyFont="1" applyFill="1" applyBorder="1"/>
    <xf numFmtId="164" fontId="10" fillId="10" borderId="26" xfId="0" applyNumberFormat="1" applyFont="1" applyFill="1" applyBorder="1"/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6" borderId="13" xfId="0" applyNumberFormat="1" applyFill="1" applyBorder="1"/>
    <xf numFmtId="0" fontId="0" fillId="6" borderId="1" xfId="0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left" vertical="center"/>
    </xf>
    <xf numFmtId="3" fontId="0" fillId="6" borderId="1" xfId="0" applyNumberFormat="1" applyFill="1" applyBorder="1" applyAlignment="1">
      <alignment vertical="center"/>
    </xf>
    <xf numFmtId="164" fontId="0" fillId="6" borderId="1" xfId="0" applyNumberFormat="1" applyFill="1" applyBorder="1" applyAlignment="1">
      <alignment vertical="center"/>
    </xf>
    <xf numFmtId="9" fontId="0" fillId="6" borderId="1" xfId="0" applyNumberFormat="1" applyFill="1" applyBorder="1" applyAlignment="1">
      <alignment horizontal="center"/>
    </xf>
    <xf numFmtId="164" fontId="0" fillId="6" borderId="1" xfId="4" applyNumberFormat="1" applyFont="1" applyFill="1" applyBorder="1"/>
    <xf numFmtId="0" fontId="0" fillId="0" borderId="1" xfId="0" applyBorder="1" applyAlignment="1">
      <alignment horizontal="center"/>
    </xf>
    <xf numFmtId="14" fontId="0" fillId="6" borderId="9" xfId="0" applyNumberFormat="1" applyFill="1" applyBorder="1" applyAlignment="1">
      <alignment horizontal="left"/>
    </xf>
    <xf numFmtId="14" fontId="0" fillId="6" borderId="34" xfId="0" applyNumberFormat="1" applyFill="1" applyBorder="1" applyAlignment="1">
      <alignment horizontal="left"/>
    </xf>
    <xf numFmtId="14" fontId="0" fillId="6" borderId="12" xfId="0" applyNumberFormat="1" applyFill="1" applyBorder="1"/>
    <xf numFmtId="14" fontId="0" fillId="6" borderId="34" xfId="0" applyNumberFormat="1" applyFill="1" applyBorder="1"/>
    <xf numFmtId="0" fontId="0" fillId="6" borderId="1" xfId="0" applyFill="1" applyBorder="1" applyAlignment="1">
      <alignment vertical="center" wrapText="1"/>
    </xf>
    <xf numFmtId="0" fontId="0" fillId="0" borderId="19" xfId="0" applyBorder="1"/>
    <xf numFmtId="14" fontId="0" fillId="0" borderId="8" xfId="0" applyNumberFormat="1" applyBorder="1"/>
    <xf numFmtId="0" fontId="14" fillId="0" borderId="1" xfId="0" applyFont="1" applyBorder="1" applyAlignment="1">
      <alignment vertical="center" wrapText="1"/>
    </xf>
    <xf numFmtId="14" fontId="14" fillId="0" borderId="1" xfId="0" applyNumberFormat="1" applyFont="1" applyBorder="1" applyAlignment="1">
      <alignment vertical="center" wrapText="1"/>
    </xf>
    <xf numFmtId="166" fontId="12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14" fontId="0" fillId="0" borderId="34" xfId="0" applyNumberFormat="1" applyBorder="1"/>
    <xf numFmtId="3" fontId="0" fillId="0" borderId="7" xfId="0" applyNumberFormat="1" applyBorder="1"/>
    <xf numFmtId="164" fontId="0" fillId="0" borderId="25" xfId="0" applyNumberFormat="1" applyBorder="1"/>
    <xf numFmtId="0" fontId="0" fillId="0" borderId="5" xfId="0" applyBorder="1"/>
    <xf numFmtId="0" fontId="0" fillId="0" borderId="24" xfId="0" applyBorder="1" applyAlignment="1">
      <alignment horizontal="center"/>
    </xf>
    <xf numFmtId="167" fontId="0" fillId="0" borderId="1" xfId="3" applyNumberFormat="1" applyFont="1" applyFill="1" applyBorder="1"/>
    <xf numFmtId="0" fontId="0" fillId="0" borderId="5" xfId="0" applyBorder="1" applyAlignment="1">
      <alignment horizontal="center"/>
    </xf>
    <xf numFmtId="3" fontId="0" fillId="0" borderId="1" xfId="0" applyNumberFormat="1" applyBorder="1"/>
    <xf numFmtId="164" fontId="0" fillId="0" borderId="30" xfId="0" applyNumberFormat="1" applyBorder="1"/>
    <xf numFmtId="0" fontId="12" fillId="0" borderId="1" xfId="0" applyFont="1" applyBorder="1"/>
    <xf numFmtId="167" fontId="12" fillId="0" borderId="1" xfId="3" applyNumberFormat="1" applyFont="1" applyFill="1" applyBorder="1"/>
    <xf numFmtId="164" fontId="12" fillId="0" borderId="33" xfId="0" applyNumberFormat="1" applyFont="1" applyBorder="1"/>
    <xf numFmtId="0" fontId="12" fillId="0" borderId="0" xfId="0" applyFont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0" borderId="1" xfId="4" applyNumberFormat="1" applyFont="1" applyFill="1" applyBorder="1"/>
    <xf numFmtId="3" fontId="0" fillId="0" borderId="1" xfId="0" applyNumberFormat="1" applyBorder="1" applyAlignment="1">
      <alignment vertical="center"/>
    </xf>
    <xf numFmtId="164" fontId="0" fillId="0" borderId="25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4" fontId="0" fillId="0" borderId="7" xfId="0" applyNumberFormat="1" applyBorder="1"/>
    <xf numFmtId="164" fontId="12" fillId="0" borderId="1" xfId="4" applyNumberFormat="1" applyFont="1" applyFill="1" applyBorder="1" applyAlignment="1">
      <alignment horizontal="right"/>
    </xf>
    <xf numFmtId="0" fontId="0" fillId="6" borderId="35" xfId="0" applyFill="1" applyBorder="1"/>
    <xf numFmtId="0" fontId="5" fillId="7" borderId="1" xfId="0" applyFont="1" applyFill="1" applyBorder="1"/>
    <xf numFmtId="0" fontId="6" fillId="7" borderId="1" xfId="0" applyFont="1" applyFill="1" applyBorder="1"/>
    <xf numFmtId="14" fontId="0" fillId="6" borderId="0" xfId="0" applyNumberFormat="1" applyFill="1"/>
    <xf numFmtId="0" fontId="0" fillId="6" borderId="14" xfId="0" applyFill="1" applyBorder="1" applyAlignment="1">
      <alignment horizontal="right"/>
    </xf>
    <xf numFmtId="0" fontId="0" fillId="6" borderId="27" xfId="0" applyFill="1" applyBorder="1" applyAlignment="1">
      <alignment horizontal="right"/>
    </xf>
    <xf numFmtId="0" fontId="0" fillId="6" borderId="27" xfId="0" applyFill="1" applyBorder="1"/>
    <xf numFmtId="0" fontId="0" fillId="6" borderId="1" xfId="0" applyFill="1" applyBorder="1" applyAlignment="1">
      <alignment horizontal="right"/>
    </xf>
    <xf numFmtId="3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 applyAlignment="1">
      <alignment horizontal="center" vertical="center"/>
    </xf>
    <xf numFmtId="49" fontId="0" fillId="0" borderId="3" xfId="0" applyNumberFormat="1" applyBorder="1"/>
    <xf numFmtId="49" fontId="0" fillId="0" borderId="3" xfId="0" applyNumberFormat="1" applyBorder="1" applyAlignment="1">
      <alignment horizontal="left"/>
    </xf>
    <xf numFmtId="164" fontId="0" fillId="7" borderId="36" xfId="0" applyNumberFormat="1" applyFill="1" applyBorder="1"/>
    <xf numFmtId="0" fontId="0" fillId="0" borderId="5" xfId="0" applyBorder="1" applyAlignment="1">
      <alignment horizontal="left"/>
    </xf>
    <xf numFmtId="0" fontId="0" fillId="0" borderId="32" xfId="0" applyBorder="1" applyAlignment="1">
      <alignment horizontal="left"/>
    </xf>
    <xf numFmtId="0" fontId="12" fillId="6" borderId="1" xfId="0" applyFont="1" applyFill="1" applyBorder="1"/>
    <xf numFmtId="14" fontId="12" fillId="6" borderId="1" xfId="0" applyNumberFormat="1" applyFont="1" applyFill="1" applyBorder="1"/>
    <xf numFmtId="167" fontId="12" fillId="6" borderId="1" xfId="3" applyNumberFormat="1" applyFont="1" applyFill="1" applyBorder="1"/>
    <xf numFmtId="0" fontId="12" fillId="6" borderId="5" xfId="0" applyFont="1" applyFill="1" applyBorder="1" applyAlignment="1">
      <alignment horizontal="center"/>
    </xf>
    <xf numFmtId="164" fontId="12" fillId="6" borderId="33" xfId="0" applyNumberFormat="1" applyFont="1" applyFill="1" applyBorder="1"/>
    <xf numFmtId="164" fontId="12" fillId="6" borderId="26" xfId="0" applyNumberFormat="1" applyFont="1" applyFill="1" applyBorder="1"/>
    <xf numFmtId="14" fontId="0" fillId="6" borderId="5" xfId="0" applyNumberFormat="1" applyFill="1" applyBorder="1"/>
    <xf numFmtId="0" fontId="0" fillId="6" borderId="7" xfId="0" applyFill="1" applyBorder="1" applyAlignment="1">
      <alignment horizontal="center"/>
    </xf>
    <xf numFmtId="0" fontId="0" fillId="0" borderId="4" xfId="0" applyBorder="1"/>
    <xf numFmtId="0" fontId="0" fillId="0" borderId="37" xfId="0" applyBorder="1"/>
    <xf numFmtId="0" fontId="0" fillId="0" borderId="38" xfId="0" applyBorder="1"/>
    <xf numFmtId="0" fontId="0" fillId="0" borderId="1" xfId="0" applyBorder="1" applyAlignment="1">
      <alignment horizontal="left"/>
    </xf>
    <xf numFmtId="14" fontId="0" fillId="0" borderId="15" xfId="0" applyNumberFormat="1" applyBorder="1"/>
    <xf numFmtId="14" fontId="0" fillId="0" borderId="10" xfId="0" applyNumberForma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4" fontId="0" fillId="0" borderId="3" xfId="0" applyNumberFormat="1" applyBorder="1" applyAlignment="1">
      <alignment horizontal="right"/>
    </xf>
    <xf numFmtId="0" fontId="0" fillId="3" borderId="27" xfId="0" applyFill="1" applyBorder="1"/>
    <xf numFmtId="0" fontId="12" fillId="0" borderId="8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14" fontId="12" fillId="6" borderId="8" xfId="0" applyNumberFormat="1" applyFont="1" applyFill="1" applyBorder="1"/>
    <xf numFmtId="0" fontId="12" fillId="6" borderId="8" xfId="0" applyFont="1" applyFill="1" applyBorder="1" applyAlignment="1">
      <alignment horizontal="center"/>
    </xf>
    <xf numFmtId="3" fontId="12" fillId="6" borderId="7" xfId="0" applyNumberFormat="1" applyFont="1" applyFill="1" applyBorder="1"/>
    <xf numFmtId="0" fontId="12" fillId="6" borderId="9" xfId="0" applyFont="1" applyFill="1" applyBorder="1"/>
    <xf numFmtId="0" fontId="12" fillId="6" borderId="24" xfId="0" applyFont="1" applyFill="1" applyBorder="1" applyAlignment="1">
      <alignment horizontal="center" vertical="center"/>
    </xf>
    <xf numFmtId="164" fontId="12" fillId="6" borderId="25" xfId="0" applyNumberFormat="1" applyFont="1" applyFill="1" applyBorder="1"/>
    <xf numFmtId="164" fontId="12" fillId="6" borderId="11" xfId="0" applyNumberFormat="1" applyFont="1" applyFill="1" applyBorder="1"/>
    <xf numFmtId="0" fontId="0" fillId="6" borderId="1" xfId="0" applyFill="1" applyBorder="1" applyAlignment="1">
      <alignment horizontal="left"/>
    </xf>
    <xf numFmtId="14" fontId="14" fillId="6" borderId="10" xfId="0" applyNumberFormat="1" applyFont="1" applyFill="1" applyBorder="1"/>
    <xf numFmtId="14" fontId="14" fillId="6" borderId="34" xfId="0" applyNumberFormat="1" applyFont="1" applyFill="1" applyBorder="1"/>
    <xf numFmtId="14" fontId="0" fillId="6" borderId="9" xfId="0" applyNumberFormat="1" applyFill="1" applyBorder="1"/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7" fillId="0" borderId="41" xfId="0" applyFont="1" applyBorder="1" applyAlignment="1">
      <alignment horizontal="center"/>
    </xf>
    <xf numFmtId="0" fontId="0" fillId="0" borderId="41" xfId="0" applyBorder="1"/>
    <xf numFmtId="164" fontId="0" fillId="6" borderId="9" xfId="0" applyNumberFormat="1" applyFill="1" applyBorder="1"/>
    <xf numFmtId="164" fontId="0" fillId="0" borderId="12" xfId="0" applyNumberFormat="1" applyBorder="1"/>
    <xf numFmtId="164" fontId="0" fillId="0" borderId="9" xfId="0" applyNumberFormat="1" applyBorder="1" applyAlignment="1">
      <alignment vertical="center"/>
    </xf>
    <xf numFmtId="164" fontId="0" fillId="0" borderId="39" xfId="0" applyNumberFormat="1" applyBorder="1"/>
    <xf numFmtId="14" fontId="14" fillId="6" borderId="1" xfId="0" applyNumberFormat="1" applyFont="1" applyFill="1" applyBorder="1" applyAlignment="1">
      <alignment wrapText="1"/>
    </xf>
    <xf numFmtId="0" fontId="0" fillId="11" borderId="7" xfId="0" applyFill="1" applyBorder="1" applyAlignment="1">
      <alignment horizontal="center" vertical="center"/>
    </xf>
    <xf numFmtId="14" fontId="0" fillId="11" borderId="1" xfId="0" applyNumberFormat="1" applyFill="1" applyBorder="1"/>
    <xf numFmtId="14" fontId="0" fillId="12" borderId="1" xfId="0" applyNumberFormat="1" applyFill="1" applyBorder="1"/>
    <xf numFmtId="14" fontId="0" fillId="12" borderId="1" xfId="0" applyNumberFormat="1" applyFill="1" applyBorder="1" applyAlignment="1">
      <alignment vertical="center"/>
    </xf>
    <xf numFmtId="14" fontId="0" fillId="13" borderId="1" xfId="0" applyNumberFormat="1" applyFill="1" applyBorder="1"/>
    <xf numFmtId="14" fontId="0" fillId="14" borderId="3" xfId="0" applyNumberFormat="1" applyFill="1" applyBorder="1"/>
    <xf numFmtId="14" fontId="0" fillId="14" borderId="34" xfId="0" applyNumberFormat="1" applyFill="1" applyBorder="1" applyAlignment="1">
      <alignment horizontal="right"/>
    </xf>
    <xf numFmtId="0" fontId="0" fillId="0" borderId="1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6" borderId="8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left"/>
    </xf>
    <xf numFmtId="0" fontId="0" fillId="6" borderId="13" xfId="0" applyFill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0" fillId="9" borderId="1" xfId="0" applyFill="1" applyBorder="1" applyAlignment="1">
      <alignment horizontal="center" vertical="center" wrapText="1"/>
    </xf>
  </cellXfs>
  <cellStyles count="5">
    <cellStyle name="Comma" xfId="3" builtinId="3"/>
    <cellStyle name="Currency" xfId="4" builtinId="4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E15F-00F6-D449-8467-476117CE14AC}">
  <sheetPr>
    <pageSetUpPr fitToPage="1"/>
  </sheetPr>
  <dimension ref="A1:K88"/>
  <sheetViews>
    <sheetView topLeftCell="A9" workbookViewId="0">
      <selection activeCell="K38" sqref="K38"/>
    </sheetView>
  </sheetViews>
  <sheetFormatPr baseColWidth="10" defaultRowHeight="16" x14ac:dyDescent="0.2"/>
  <cols>
    <col min="1" max="1" width="16" customWidth="1"/>
    <col min="2" max="2" width="29.6640625" customWidth="1"/>
    <col min="3" max="3" width="14.5" customWidth="1"/>
    <col min="6" max="6" width="26" customWidth="1"/>
    <col min="7" max="7" width="17.5" customWidth="1"/>
    <col min="9" max="9" width="13.5" customWidth="1"/>
    <col min="11" max="11" width="11.83203125" customWidth="1"/>
  </cols>
  <sheetData>
    <row r="1" spans="1:11" ht="51" x14ac:dyDescent="0.2">
      <c r="A1" s="19" t="s">
        <v>0</v>
      </c>
      <c r="B1" s="19" t="s">
        <v>1</v>
      </c>
      <c r="C1" s="19" t="s">
        <v>2</v>
      </c>
      <c r="D1" s="20" t="s">
        <v>3</v>
      </c>
      <c r="E1" s="20" t="s">
        <v>4</v>
      </c>
      <c r="F1" s="19" t="s">
        <v>5</v>
      </c>
      <c r="G1" s="19" t="s">
        <v>6</v>
      </c>
      <c r="H1" s="19" t="s">
        <v>7</v>
      </c>
      <c r="I1" s="21" t="s">
        <v>8</v>
      </c>
      <c r="J1" s="19" t="s">
        <v>85</v>
      </c>
    </row>
    <row r="2" spans="1:11" ht="16" customHeight="1" x14ac:dyDescent="0.2">
      <c r="A2" s="325" t="s">
        <v>77</v>
      </c>
      <c r="B2" s="22" t="s">
        <v>9</v>
      </c>
      <c r="C2" s="23">
        <v>45023</v>
      </c>
      <c r="D2" s="23">
        <v>45008</v>
      </c>
      <c r="E2" s="23">
        <v>45001</v>
      </c>
      <c r="F2" s="24" t="s">
        <v>10</v>
      </c>
      <c r="G2" s="25">
        <v>32000</v>
      </c>
      <c r="H2" s="24">
        <v>1</v>
      </c>
      <c r="I2" s="26">
        <v>781</v>
      </c>
      <c r="J2" s="1" t="s">
        <v>86</v>
      </c>
    </row>
    <row r="3" spans="1:11" x14ac:dyDescent="0.2">
      <c r="A3" s="326"/>
      <c r="B3" s="22" t="s">
        <v>11</v>
      </c>
      <c r="C3" s="23">
        <v>45079</v>
      </c>
      <c r="D3" s="23">
        <v>45064</v>
      </c>
      <c r="E3" s="23">
        <v>45057</v>
      </c>
      <c r="F3" s="24" t="s">
        <v>10</v>
      </c>
      <c r="G3" s="25">
        <v>32000</v>
      </c>
      <c r="H3" s="24">
        <v>1</v>
      </c>
      <c r="I3" s="26">
        <v>781</v>
      </c>
      <c r="J3" s="1" t="s">
        <v>87</v>
      </c>
    </row>
    <row r="4" spans="1:11" x14ac:dyDescent="0.2">
      <c r="A4" s="326"/>
      <c r="B4" s="22" t="s">
        <v>12</v>
      </c>
      <c r="C4" s="23">
        <v>45135</v>
      </c>
      <c r="D4" s="23">
        <v>45120</v>
      </c>
      <c r="E4" s="23">
        <v>45113</v>
      </c>
      <c r="F4" s="24" t="s">
        <v>10</v>
      </c>
      <c r="G4" s="25">
        <v>32000</v>
      </c>
      <c r="H4" s="24">
        <v>1</v>
      </c>
      <c r="I4" s="26">
        <v>781</v>
      </c>
      <c r="J4" s="1" t="s">
        <v>88</v>
      </c>
    </row>
    <row r="5" spans="1:11" x14ac:dyDescent="0.2">
      <c r="A5" s="326"/>
      <c r="B5" s="22" t="s">
        <v>13</v>
      </c>
      <c r="C5" s="23">
        <v>45149</v>
      </c>
      <c r="D5" s="23">
        <v>45128</v>
      </c>
      <c r="E5" s="23">
        <v>45121</v>
      </c>
      <c r="F5" s="24" t="s">
        <v>10</v>
      </c>
      <c r="G5" s="25">
        <v>32000</v>
      </c>
      <c r="H5" s="24">
        <v>1</v>
      </c>
      <c r="I5" s="26">
        <v>781</v>
      </c>
      <c r="J5" s="1" t="s">
        <v>89</v>
      </c>
    </row>
    <row r="6" spans="1:11" x14ac:dyDescent="0.2">
      <c r="A6" s="326"/>
      <c r="B6" s="22" t="s">
        <v>14</v>
      </c>
      <c r="C6" s="23">
        <v>45177</v>
      </c>
      <c r="D6" s="23">
        <v>45162</v>
      </c>
      <c r="E6" s="23">
        <v>45155</v>
      </c>
      <c r="F6" s="24" t="s">
        <v>10</v>
      </c>
      <c r="G6" s="25">
        <v>32000</v>
      </c>
      <c r="H6" s="24">
        <v>1</v>
      </c>
      <c r="I6" s="26">
        <v>781</v>
      </c>
      <c r="J6" s="1" t="s">
        <v>90</v>
      </c>
    </row>
    <row r="7" spans="1:11" x14ac:dyDescent="0.2">
      <c r="A7" s="326"/>
      <c r="B7" s="22" t="s">
        <v>16</v>
      </c>
      <c r="C7" s="23">
        <v>45205</v>
      </c>
      <c r="D7" s="23">
        <v>45201</v>
      </c>
      <c r="E7" s="23">
        <v>45194</v>
      </c>
      <c r="F7" s="24" t="s">
        <v>10</v>
      </c>
      <c r="G7" s="25">
        <v>32000</v>
      </c>
      <c r="H7" s="24">
        <v>1</v>
      </c>
      <c r="I7" s="26">
        <v>715</v>
      </c>
      <c r="J7" s="1" t="s">
        <v>91</v>
      </c>
    </row>
    <row r="8" spans="1:11" x14ac:dyDescent="0.2">
      <c r="A8" s="326"/>
      <c r="B8" s="22" t="s">
        <v>15</v>
      </c>
      <c r="C8" s="23">
        <v>45233</v>
      </c>
      <c r="D8" s="23">
        <v>45218</v>
      </c>
      <c r="E8" s="23">
        <v>45211</v>
      </c>
      <c r="F8" s="24" t="s">
        <v>10</v>
      </c>
      <c r="G8" s="25">
        <v>32000</v>
      </c>
      <c r="H8" s="24">
        <v>1</v>
      </c>
      <c r="I8" s="26">
        <v>568</v>
      </c>
      <c r="J8" s="1" t="s">
        <v>92</v>
      </c>
    </row>
    <row r="9" spans="1:11" x14ac:dyDescent="0.2">
      <c r="A9" s="326"/>
      <c r="B9" s="22" t="s">
        <v>130</v>
      </c>
      <c r="C9" s="23">
        <v>45296</v>
      </c>
      <c r="D9" s="23">
        <v>45281</v>
      </c>
      <c r="E9" s="23">
        <v>45274</v>
      </c>
      <c r="F9" s="24" t="s">
        <v>10</v>
      </c>
      <c r="G9" s="25">
        <v>32000</v>
      </c>
      <c r="H9" s="24">
        <v>1</v>
      </c>
      <c r="I9" s="26">
        <v>568</v>
      </c>
      <c r="J9" s="1" t="s">
        <v>131</v>
      </c>
    </row>
    <row r="10" spans="1:11" x14ac:dyDescent="0.2">
      <c r="A10" s="326"/>
      <c r="B10" s="22" t="s">
        <v>16</v>
      </c>
      <c r="C10" s="23">
        <v>45324</v>
      </c>
      <c r="D10" s="23">
        <v>45320</v>
      </c>
      <c r="E10" s="23">
        <v>45313</v>
      </c>
      <c r="F10" s="24" t="s">
        <v>10</v>
      </c>
      <c r="G10" s="25">
        <v>32000</v>
      </c>
      <c r="H10" s="24">
        <v>1</v>
      </c>
      <c r="I10" s="26">
        <v>715</v>
      </c>
      <c r="J10" s="1" t="s">
        <v>93</v>
      </c>
    </row>
    <row r="11" spans="1:11" x14ac:dyDescent="0.2">
      <c r="A11" s="6"/>
      <c r="B11" s="3"/>
      <c r="C11" s="4"/>
      <c r="D11" s="4"/>
      <c r="E11" s="4"/>
      <c r="F11" s="3"/>
      <c r="G11" s="3"/>
      <c r="H11" s="3"/>
      <c r="I11" s="31">
        <f>SUM(I2:I10)</f>
        <v>6471</v>
      </c>
      <c r="J11" s="1"/>
      <c r="K11" s="5"/>
    </row>
    <row r="12" spans="1:11" x14ac:dyDescent="0.2">
      <c r="A12" s="324" t="s">
        <v>76</v>
      </c>
      <c r="B12" s="22" t="s">
        <v>17</v>
      </c>
      <c r="C12" s="23" t="s">
        <v>18</v>
      </c>
      <c r="D12" s="23">
        <v>45010</v>
      </c>
      <c r="E12" s="23">
        <v>45003</v>
      </c>
      <c r="F12" s="24" t="s">
        <v>19</v>
      </c>
      <c r="G12" s="24"/>
      <c r="H12" s="24">
        <v>1</v>
      </c>
      <c r="I12" s="26">
        <v>830</v>
      </c>
      <c r="J12" s="1" t="s">
        <v>94</v>
      </c>
    </row>
    <row r="13" spans="1:11" x14ac:dyDescent="0.2">
      <c r="A13" s="324"/>
      <c r="B13" s="22" t="s">
        <v>20</v>
      </c>
      <c r="C13" s="23" t="s">
        <v>21</v>
      </c>
      <c r="D13" s="23">
        <v>45164</v>
      </c>
      <c r="E13" s="23">
        <v>45157</v>
      </c>
      <c r="F13" s="24" t="s">
        <v>19</v>
      </c>
      <c r="G13" s="24"/>
      <c r="H13" s="24">
        <v>1</v>
      </c>
      <c r="I13" s="26">
        <v>830</v>
      </c>
      <c r="J13" s="1" t="s">
        <v>95</v>
      </c>
    </row>
    <row r="14" spans="1:11" x14ac:dyDescent="0.2">
      <c r="A14" s="324"/>
      <c r="B14" s="22" t="s">
        <v>22</v>
      </c>
      <c r="C14" s="23" t="s">
        <v>96</v>
      </c>
      <c r="D14" s="23">
        <v>45276</v>
      </c>
      <c r="E14" s="23">
        <v>45269</v>
      </c>
      <c r="F14" s="24" t="s">
        <v>19</v>
      </c>
      <c r="G14" s="24"/>
      <c r="H14" s="24">
        <v>1</v>
      </c>
      <c r="I14" s="26">
        <v>830</v>
      </c>
      <c r="J14" s="1" t="s">
        <v>97</v>
      </c>
    </row>
    <row r="15" spans="1:11" x14ac:dyDescent="0.2">
      <c r="A15" s="6"/>
      <c r="B15" s="3"/>
      <c r="C15" s="4"/>
      <c r="D15" s="4"/>
      <c r="E15" s="4"/>
      <c r="F15" s="3"/>
      <c r="G15" s="3"/>
      <c r="H15" s="3"/>
      <c r="I15" s="32">
        <f>SUM(I12:I14)</f>
        <v>2490</v>
      </c>
      <c r="J15" s="1"/>
    </row>
    <row r="16" spans="1:11" x14ac:dyDescent="0.2">
      <c r="A16" s="324" t="s">
        <v>78</v>
      </c>
      <c r="B16" s="22" t="s">
        <v>23</v>
      </c>
      <c r="C16" s="23">
        <v>45044</v>
      </c>
      <c r="D16" s="23">
        <v>45030</v>
      </c>
      <c r="E16" s="23">
        <v>45023</v>
      </c>
      <c r="F16" s="24" t="s">
        <v>24</v>
      </c>
      <c r="G16" s="24">
        <v>1700</v>
      </c>
      <c r="H16" s="24">
        <v>1</v>
      </c>
      <c r="I16" s="26">
        <v>708</v>
      </c>
      <c r="J16" s="1" t="s">
        <v>98</v>
      </c>
    </row>
    <row r="17" spans="1:11" x14ac:dyDescent="0.2">
      <c r="A17" s="324"/>
      <c r="B17" s="22" t="s">
        <v>113</v>
      </c>
      <c r="C17" s="23">
        <v>45135</v>
      </c>
      <c r="D17" s="23">
        <v>45121</v>
      </c>
      <c r="E17" s="23">
        <v>45114</v>
      </c>
      <c r="F17" s="24" t="s">
        <v>24</v>
      </c>
      <c r="G17" s="24">
        <v>1700</v>
      </c>
      <c r="H17" s="24">
        <v>1</v>
      </c>
      <c r="I17" s="26">
        <v>708</v>
      </c>
      <c r="J17" s="1" t="s">
        <v>99</v>
      </c>
    </row>
    <row r="18" spans="1:11" x14ac:dyDescent="0.2">
      <c r="A18" s="324"/>
      <c r="B18" s="22" t="s">
        <v>25</v>
      </c>
      <c r="C18" s="23">
        <v>45229</v>
      </c>
      <c r="D18" s="23">
        <v>45219</v>
      </c>
      <c r="E18" s="23">
        <v>45212</v>
      </c>
      <c r="F18" s="24" t="s">
        <v>24</v>
      </c>
      <c r="G18" s="24">
        <v>1700</v>
      </c>
      <c r="H18" s="24">
        <v>1</v>
      </c>
      <c r="I18" s="26">
        <v>708</v>
      </c>
      <c r="J18" s="1" t="s">
        <v>100</v>
      </c>
    </row>
    <row r="19" spans="1:11" x14ac:dyDescent="0.2">
      <c r="A19" s="6"/>
      <c r="B19" s="3"/>
      <c r="C19" s="4"/>
      <c r="D19" s="4"/>
      <c r="E19" s="4"/>
      <c r="F19" s="3"/>
      <c r="G19" s="3"/>
      <c r="H19" s="3"/>
      <c r="I19" s="32">
        <f>SUM(I16:I18)</f>
        <v>2124</v>
      </c>
      <c r="J19" s="1"/>
    </row>
    <row r="20" spans="1:11" ht="17" x14ac:dyDescent="0.2">
      <c r="A20" s="324" t="s">
        <v>79</v>
      </c>
      <c r="B20" s="22" t="s">
        <v>119</v>
      </c>
      <c r="C20" s="23">
        <v>45170</v>
      </c>
      <c r="D20" s="23">
        <v>45153</v>
      </c>
      <c r="E20" s="23">
        <v>45145</v>
      </c>
      <c r="F20" s="105" t="s">
        <v>42</v>
      </c>
      <c r="G20" s="24"/>
      <c r="H20" s="24">
        <v>1</v>
      </c>
      <c r="I20" s="26">
        <v>1500</v>
      </c>
      <c r="J20" s="1" t="s">
        <v>101</v>
      </c>
    </row>
    <row r="21" spans="1:11" ht="30" customHeight="1" x14ac:dyDescent="0.2">
      <c r="A21" s="324"/>
      <c r="B21" s="22" t="s">
        <v>26</v>
      </c>
      <c r="C21" s="23">
        <v>45292</v>
      </c>
      <c r="D21" s="23">
        <v>45275</v>
      </c>
      <c r="E21" s="23">
        <v>45267</v>
      </c>
      <c r="F21" s="105" t="s">
        <v>42</v>
      </c>
      <c r="G21" s="24"/>
      <c r="H21" s="24">
        <v>1</v>
      </c>
      <c r="I21" s="26">
        <v>1500</v>
      </c>
      <c r="J21" s="1" t="s">
        <v>102</v>
      </c>
    </row>
    <row r="22" spans="1:11" x14ac:dyDescent="0.2">
      <c r="A22" s="6"/>
      <c r="B22" s="14"/>
      <c r="C22" s="7"/>
      <c r="D22" s="7"/>
      <c r="E22" s="7"/>
      <c r="F22" s="6"/>
      <c r="G22" s="6"/>
      <c r="H22" s="6"/>
      <c r="I22" s="33">
        <f>SUM(I20:I21)</f>
        <v>3000</v>
      </c>
      <c r="J22" s="1"/>
    </row>
    <row r="23" spans="1:11" ht="17" x14ac:dyDescent="0.2">
      <c r="A23" s="324" t="s">
        <v>80</v>
      </c>
      <c r="B23" s="22" t="s">
        <v>27</v>
      </c>
      <c r="C23" s="23">
        <v>44972</v>
      </c>
      <c r="D23" s="23">
        <v>44956</v>
      </c>
      <c r="E23" s="23">
        <v>44949</v>
      </c>
      <c r="F23" s="27" t="s">
        <v>43</v>
      </c>
      <c r="G23" s="24">
        <v>3600</v>
      </c>
      <c r="H23" s="24">
        <v>1</v>
      </c>
      <c r="I23" s="26">
        <v>420</v>
      </c>
      <c r="J23" s="1"/>
    </row>
    <row r="24" spans="1:11" ht="17" x14ac:dyDescent="0.2">
      <c r="A24" s="324"/>
      <c r="B24" s="22" t="s">
        <v>28</v>
      </c>
      <c r="C24" s="23">
        <v>45092</v>
      </c>
      <c r="D24" s="23">
        <v>45076</v>
      </c>
      <c r="E24" s="23">
        <v>45069</v>
      </c>
      <c r="F24" s="27" t="s">
        <v>43</v>
      </c>
      <c r="G24" s="24">
        <v>3600</v>
      </c>
      <c r="H24" s="24">
        <v>1</v>
      </c>
      <c r="I24" s="26">
        <v>420</v>
      </c>
      <c r="J24" s="1" t="s">
        <v>103</v>
      </c>
    </row>
    <row r="25" spans="1:11" ht="17" x14ac:dyDescent="0.2">
      <c r="A25" s="324"/>
      <c r="B25" s="22" t="s">
        <v>20</v>
      </c>
      <c r="C25" s="23">
        <v>45209</v>
      </c>
      <c r="D25" s="23">
        <v>45199</v>
      </c>
      <c r="E25" s="23">
        <v>45191</v>
      </c>
      <c r="F25" s="27" t="s">
        <v>43</v>
      </c>
      <c r="G25" s="24">
        <v>3600</v>
      </c>
      <c r="H25" s="24">
        <v>1</v>
      </c>
      <c r="I25" s="26">
        <v>420</v>
      </c>
      <c r="J25" s="1" t="s">
        <v>104</v>
      </c>
    </row>
    <row r="26" spans="1:11" x14ac:dyDescent="0.2">
      <c r="A26" s="6"/>
      <c r="B26" s="14"/>
      <c r="C26" s="7"/>
      <c r="D26" s="7"/>
      <c r="E26" s="7"/>
      <c r="F26" s="6"/>
      <c r="G26" s="6"/>
      <c r="H26" s="6"/>
      <c r="I26" s="33">
        <f>SUM(I23:I25)</f>
        <v>1260</v>
      </c>
      <c r="J26" s="1"/>
    </row>
    <row r="27" spans="1:11" ht="51" x14ac:dyDescent="0.2">
      <c r="A27" s="8" t="s">
        <v>29</v>
      </c>
      <c r="B27" s="12" t="s">
        <v>30</v>
      </c>
      <c r="C27" s="2"/>
      <c r="D27" s="2"/>
      <c r="E27" s="2"/>
      <c r="F27" s="9" t="s">
        <v>31</v>
      </c>
      <c r="G27" s="1"/>
      <c r="H27" s="1">
        <v>1</v>
      </c>
      <c r="I27" s="17">
        <v>95</v>
      </c>
      <c r="J27" s="10"/>
      <c r="K27" s="16"/>
    </row>
    <row r="28" spans="1:11" x14ac:dyDescent="0.2">
      <c r="A28" s="6"/>
      <c r="B28" s="3"/>
      <c r="C28" s="4"/>
      <c r="D28" s="4"/>
      <c r="E28" s="4"/>
      <c r="F28" s="3"/>
      <c r="G28" s="3"/>
      <c r="H28" s="3"/>
      <c r="I28" s="32">
        <f>SUM(I27)</f>
        <v>95</v>
      </c>
      <c r="J28" s="1"/>
    </row>
    <row r="29" spans="1:11" ht="17" x14ac:dyDescent="0.2">
      <c r="A29" s="324" t="s">
        <v>81</v>
      </c>
      <c r="B29" s="22" t="s">
        <v>32</v>
      </c>
      <c r="C29" s="23" t="s">
        <v>33</v>
      </c>
      <c r="D29" s="23"/>
      <c r="E29" s="23"/>
      <c r="F29" s="27" t="s">
        <v>44</v>
      </c>
      <c r="G29" s="24"/>
      <c r="H29" s="24">
        <v>1</v>
      </c>
      <c r="I29" s="26">
        <v>639</v>
      </c>
      <c r="J29" s="1" t="s">
        <v>105</v>
      </c>
    </row>
    <row r="30" spans="1:11" ht="17" x14ac:dyDescent="0.2">
      <c r="A30" s="324"/>
      <c r="B30" s="59" t="s">
        <v>34</v>
      </c>
      <c r="C30" s="60" t="s">
        <v>35</v>
      </c>
      <c r="D30" s="60"/>
      <c r="E30" s="60"/>
      <c r="F30" s="61" t="s">
        <v>44</v>
      </c>
      <c r="G30" s="62"/>
      <c r="H30" s="62">
        <v>1</v>
      </c>
      <c r="I30" s="63">
        <v>639</v>
      </c>
      <c r="J30" s="62" t="s">
        <v>106</v>
      </c>
    </row>
    <row r="31" spans="1:11" ht="17" x14ac:dyDescent="0.2">
      <c r="A31" s="324"/>
      <c r="B31" s="59" t="s">
        <v>36</v>
      </c>
      <c r="C31" s="60" t="s">
        <v>41</v>
      </c>
      <c r="D31" s="60">
        <v>45268</v>
      </c>
      <c r="E31" s="60">
        <v>45261</v>
      </c>
      <c r="F31" s="61" t="s">
        <v>135</v>
      </c>
      <c r="G31" s="62"/>
      <c r="H31" s="62"/>
      <c r="I31" s="63">
        <v>690</v>
      </c>
      <c r="J31" s="62" t="s">
        <v>107</v>
      </c>
    </row>
    <row r="32" spans="1:11" x14ac:dyDescent="0.2">
      <c r="A32" s="6"/>
      <c r="B32" s="14"/>
      <c r="C32" s="7"/>
      <c r="D32" s="7"/>
      <c r="E32" s="7"/>
      <c r="F32" s="6"/>
      <c r="G32" s="6"/>
      <c r="H32" s="6"/>
      <c r="I32" s="33">
        <f>SUM(I29)</f>
        <v>639</v>
      </c>
      <c r="J32" s="1"/>
    </row>
    <row r="33" spans="1:10" x14ac:dyDescent="0.2">
      <c r="A33" s="332" t="s">
        <v>124</v>
      </c>
      <c r="B33" s="22" t="s">
        <v>37</v>
      </c>
      <c r="C33" s="23">
        <v>45052</v>
      </c>
      <c r="D33" s="23">
        <v>45045</v>
      </c>
      <c r="E33" s="23">
        <v>45038</v>
      </c>
      <c r="F33" s="24" t="s">
        <v>73</v>
      </c>
      <c r="G33" s="24">
        <v>2800</v>
      </c>
      <c r="H33" s="24">
        <v>1</v>
      </c>
      <c r="I33" s="26">
        <v>570</v>
      </c>
      <c r="J33" s="1" t="s">
        <v>108</v>
      </c>
    </row>
    <row r="34" spans="1:10" x14ac:dyDescent="0.2">
      <c r="A34" s="332"/>
      <c r="B34" s="22" t="s">
        <v>38</v>
      </c>
      <c r="C34" s="23">
        <v>45094</v>
      </c>
      <c r="D34" s="23">
        <v>45086</v>
      </c>
      <c r="E34" s="23">
        <v>45079</v>
      </c>
      <c r="F34" s="24" t="s">
        <v>73</v>
      </c>
      <c r="G34" s="24">
        <v>2800</v>
      </c>
      <c r="H34" s="24">
        <v>1</v>
      </c>
      <c r="I34" s="26">
        <v>570</v>
      </c>
      <c r="J34" s="1" t="s">
        <v>109</v>
      </c>
    </row>
    <row r="35" spans="1:10" x14ac:dyDescent="0.2">
      <c r="A35" s="332"/>
      <c r="B35" s="22" t="s">
        <v>39</v>
      </c>
      <c r="C35" s="23">
        <v>45185</v>
      </c>
      <c r="D35" s="23">
        <v>45177</v>
      </c>
      <c r="E35" s="23">
        <v>45170</v>
      </c>
      <c r="F35" s="24" t="s">
        <v>73</v>
      </c>
      <c r="G35" s="24">
        <v>2800</v>
      </c>
      <c r="H35" s="24">
        <v>1</v>
      </c>
      <c r="I35" s="26">
        <v>570</v>
      </c>
      <c r="J35" s="1" t="s">
        <v>110</v>
      </c>
    </row>
    <row r="36" spans="1:10" x14ac:dyDescent="0.2">
      <c r="A36" s="332"/>
      <c r="B36" s="22" t="s">
        <v>40</v>
      </c>
      <c r="C36" s="23">
        <v>45276</v>
      </c>
      <c r="D36" s="23">
        <v>45268</v>
      </c>
      <c r="E36" s="23">
        <v>45261</v>
      </c>
      <c r="F36" s="24" t="s">
        <v>73</v>
      </c>
      <c r="G36" s="24">
        <v>2800</v>
      </c>
      <c r="H36" s="24">
        <v>1</v>
      </c>
      <c r="I36" s="26">
        <v>570</v>
      </c>
      <c r="J36" s="1" t="s">
        <v>111</v>
      </c>
    </row>
    <row r="37" spans="1:10" x14ac:dyDescent="0.2">
      <c r="A37" s="6"/>
      <c r="B37" s="14"/>
      <c r="C37" s="7"/>
      <c r="D37" s="7"/>
      <c r="E37" s="7"/>
      <c r="F37" s="6"/>
      <c r="G37" s="6"/>
      <c r="H37" s="6"/>
      <c r="I37" s="33">
        <f>SUM(I33:I36)</f>
        <v>2280</v>
      </c>
      <c r="J37" s="1"/>
    </row>
    <row r="38" spans="1:10" x14ac:dyDescent="0.2">
      <c r="A38" s="324" t="s">
        <v>82</v>
      </c>
      <c r="B38" s="22" t="s">
        <v>45</v>
      </c>
      <c r="C38" s="23">
        <v>44936</v>
      </c>
      <c r="D38" s="23">
        <v>44904</v>
      </c>
      <c r="E38" s="28">
        <v>45262</v>
      </c>
      <c r="F38" s="24" t="s">
        <v>46</v>
      </c>
      <c r="G38" s="24"/>
      <c r="H38" s="24">
        <v>1</v>
      </c>
      <c r="I38" s="26">
        <v>788</v>
      </c>
      <c r="J38" s="1"/>
    </row>
    <row r="39" spans="1:10" x14ac:dyDescent="0.2">
      <c r="A39" s="324"/>
      <c r="B39" s="22" t="s">
        <v>47</v>
      </c>
      <c r="C39" s="23">
        <v>44967</v>
      </c>
      <c r="D39" s="23">
        <v>44939</v>
      </c>
      <c r="E39" s="28">
        <v>44932</v>
      </c>
      <c r="F39" s="24" t="s">
        <v>46</v>
      </c>
      <c r="G39" s="24"/>
      <c r="H39" s="24">
        <v>1</v>
      </c>
      <c r="I39" s="26">
        <v>788</v>
      </c>
      <c r="J39" s="1"/>
    </row>
    <row r="40" spans="1:10" x14ac:dyDescent="0.2">
      <c r="A40" s="324"/>
      <c r="B40" s="22" t="s">
        <v>48</v>
      </c>
      <c r="C40" s="23">
        <v>44995</v>
      </c>
      <c r="D40" s="23">
        <v>44966</v>
      </c>
      <c r="E40" s="28">
        <v>44959</v>
      </c>
      <c r="F40" s="24" t="s">
        <v>46</v>
      </c>
      <c r="G40" s="330" t="s">
        <v>75</v>
      </c>
      <c r="H40" s="331"/>
      <c r="I40" s="26"/>
      <c r="J40" s="1"/>
    </row>
    <row r="41" spans="1:10" x14ac:dyDescent="0.2">
      <c r="A41" s="15"/>
      <c r="B41" s="14"/>
      <c r="C41" s="6"/>
      <c r="D41" s="7"/>
      <c r="E41" s="6"/>
      <c r="F41" s="6"/>
      <c r="G41" s="6"/>
      <c r="H41" s="6"/>
      <c r="I41" s="33">
        <f>SUM(I38:I40)</f>
        <v>1576</v>
      </c>
      <c r="J41" s="1"/>
    </row>
    <row r="42" spans="1:10" x14ac:dyDescent="0.2">
      <c r="A42" s="324" t="s">
        <v>83</v>
      </c>
      <c r="B42" s="22" t="s">
        <v>49</v>
      </c>
      <c r="C42" s="23">
        <v>44907</v>
      </c>
      <c r="D42" s="23">
        <v>44900</v>
      </c>
      <c r="E42" s="28">
        <v>45262</v>
      </c>
      <c r="F42" s="24" t="s">
        <v>58</v>
      </c>
      <c r="G42" s="24"/>
      <c r="H42" s="24">
        <v>1</v>
      </c>
      <c r="I42" s="26">
        <v>870</v>
      </c>
      <c r="J42" s="1"/>
    </row>
    <row r="43" spans="1:10" x14ac:dyDescent="0.2">
      <c r="A43" s="324"/>
      <c r="B43" s="22" t="s">
        <v>50</v>
      </c>
      <c r="C43" s="23">
        <v>44939</v>
      </c>
      <c r="D43" s="23">
        <v>44928</v>
      </c>
      <c r="E43" s="28">
        <v>45286</v>
      </c>
      <c r="F43" s="24" t="s">
        <v>58</v>
      </c>
      <c r="G43" s="24"/>
      <c r="H43" s="24">
        <v>1</v>
      </c>
      <c r="I43" s="26">
        <v>870</v>
      </c>
      <c r="J43" s="1"/>
    </row>
    <row r="44" spans="1:10" x14ac:dyDescent="0.2">
      <c r="A44" s="324"/>
      <c r="B44" s="22" t="s">
        <v>51</v>
      </c>
      <c r="C44" s="23">
        <v>44946</v>
      </c>
      <c r="D44" s="23">
        <v>44935</v>
      </c>
      <c r="E44" s="28">
        <v>44928</v>
      </c>
      <c r="F44" s="24" t="s">
        <v>58</v>
      </c>
      <c r="G44" s="24"/>
      <c r="H44" s="24">
        <v>1</v>
      </c>
      <c r="I44" s="26">
        <v>870</v>
      </c>
      <c r="J44" s="1"/>
    </row>
    <row r="45" spans="1:10" x14ac:dyDescent="0.2">
      <c r="A45" s="324"/>
      <c r="B45" s="22" t="s">
        <v>52</v>
      </c>
      <c r="C45" s="23">
        <v>44967</v>
      </c>
      <c r="D45" s="23">
        <v>44956</v>
      </c>
      <c r="E45" s="28">
        <v>44949</v>
      </c>
      <c r="F45" s="24" t="s">
        <v>58</v>
      </c>
      <c r="G45" s="24"/>
      <c r="H45" s="24">
        <v>1</v>
      </c>
      <c r="I45" s="26">
        <v>870</v>
      </c>
      <c r="J45" s="1"/>
    </row>
    <row r="46" spans="1:10" x14ac:dyDescent="0.2">
      <c r="A46" s="324"/>
      <c r="B46" s="22" t="s">
        <v>53</v>
      </c>
      <c r="C46" s="23">
        <v>44981</v>
      </c>
      <c r="D46" s="23">
        <v>44970</v>
      </c>
      <c r="E46" s="28">
        <v>44963</v>
      </c>
      <c r="F46" s="24" t="s">
        <v>58</v>
      </c>
      <c r="G46" s="24"/>
      <c r="H46" s="24">
        <v>1</v>
      </c>
      <c r="I46" s="29">
        <v>870</v>
      </c>
      <c r="J46" s="1"/>
    </row>
    <row r="47" spans="1:10" x14ac:dyDescent="0.2">
      <c r="A47" s="324"/>
      <c r="B47" s="22" t="s">
        <v>54</v>
      </c>
      <c r="C47" s="23">
        <v>45002</v>
      </c>
      <c r="D47" s="23">
        <v>44991</v>
      </c>
      <c r="E47" s="28">
        <v>44984</v>
      </c>
      <c r="F47" s="24" t="s">
        <v>58</v>
      </c>
      <c r="G47" s="24"/>
      <c r="H47" s="24">
        <v>1</v>
      </c>
      <c r="I47" s="26">
        <v>870</v>
      </c>
      <c r="J47" s="1" t="s">
        <v>112</v>
      </c>
    </row>
    <row r="48" spans="1:10" x14ac:dyDescent="0.2">
      <c r="A48" s="11"/>
      <c r="B48" s="14"/>
      <c r="C48" s="6"/>
      <c r="D48" s="7"/>
      <c r="E48" s="6"/>
      <c r="F48" s="6"/>
      <c r="G48" s="6"/>
      <c r="H48" s="6"/>
      <c r="I48" s="33">
        <f>SUM(I42:I47)</f>
        <v>5220</v>
      </c>
      <c r="J48" s="1"/>
    </row>
    <row r="49" spans="1:10" x14ac:dyDescent="0.2">
      <c r="A49" s="324" t="s">
        <v>84</v>
      </c>
      <c r="B49" s="22" t="s">
        <v>55</v>
      </c>
      <c r="C49" s="28">
        <v>45274</v>
      </c>
      <c r="D49" s="28" t="s">
        <v>74</v>
      </c>
      <c r="E49" s="28" t="s">
        <v>74</v>
      </c>
      <c r="F49" s="24" t="s">
        <v>56</v>
      </c>
      <c r="G49" s="24"/>
      <c r="H49" s="24">
        <v>1</v>
      </c>
      <c r="I49" s="26">
        <v>94.5</v>
      </c>
      <c r="J49" s="1"/>
    </row>
    <row r="50" spans="1:10" x14ac:dyDescent="0.2">
      <c r="A50" s="324"/>
      <c r="B50" s="22" t="s">
        <v>55</v>
      </c>
      <c r="C50" s="28">
        <v>45281</v>
      </c>
      <c r="D50" s="28" t="s">
        <v>74</v>
      </c>
      <c r="E50" s="28" t="s">
        <v>74</v>
      </c>
      <c r="F50" s="24" t="s">
        <v>56</v>
      </c>
      <c r="G50" s="24"/>
      <c r="H50" s="24">
        <v>1</v>
      </c>
      <c r="I50" s="26">
        <v>94.5</v>
      </c>
      <c r="J50" s="1"/>
    </row>
    <row r="51" spans="1:10" x14ac:dyDescent="0.2">
      <c r="A51" s="324"/>
      <c r="B51" s="22" t="s">
        <v>55</v>
      </c>
      <c r="C51" s="28">
        <v>45288</v>
      </c>
      <c r="D51" s="28" t="s">
        <v>74</v>
      </c>
      <c r="E51" s="28" t="s">
        <v>74</v>
      </c>
      <c r="F51" s="24" t="s">
        <v>56</v>
      </c>
      <c r="G51" s="24"/>
      <c r="H51" s="24">
        <v>1</v>
      </c>
      <c r="I51" s="26">
        <v>94.5</v>
      </c>
      <c r="J51" s="1"/>
    </row>
    <row r="52" spans="1:10" x14ac:dyDescent="0.2">
      <c r="A52" s="324"/>
      <c r="B52" s="22" t="s">
        <v>26</v>
      </c>
      <c r="C52" s="28">
        <v>44937</v>
      </c>
      <c r="D52" s="28">
        <v>44930</v>
      </c>
      <c r="E52" s="28">
        <v>45288</v>
      </c>
      <c r="F52" s="24" t="s">
        <v>56</v>
      </c>
      <c r="G52" s="24"/>
      <c r="H52" s="24">
        <v>1</v>
      </c>
      <c r="I52" s="26">
        <v>94.5</v>
      </c>
      <c r="J52" s="18"/>
    </row>
    <row r="53" spans="1:10" x14ac:dyDescent="0.2">
      <c r="A53" s="324"/>
      <c r="B53" s="22" t="s">
        <v>26</v>
      </c>
      <c r="C53" s="28">
        <v>44944</v>
      </c>
      <c r="D53" s="28">
        <v>44937</v>
      </c>
      <c r="E53" s="28">
        <v>44930</v>
      </c>
      <c r="F53" s="24" t="s">
        <v>56</v>
      </c>
      <c r="G53" s="24"/>
      <c r="H53" s="24">
        <v>1</v>
      </c>
      <c r="I53" s="26">
        <v>94.5</v>
      </c>
      <c r="J53" s="1"/>
    </row>
    <row r="54" spans="1:10" x14ac:dyDescent="0.2">
      <c r="A54" s="324"/>
      <c r="B54" s="22" t="s">
        <v>26</v>
      </c>
      <c r="C54" s="28">
        <v>44951</v>
      </c>
      <c r="D54" s="28">
        <v>44944</v>
      </c>
      <c r="E54" s="28">
        <v>44937</v>
      </c>
      <c r="F54" s="24" t="s">
        <v>56</v>
      </c>
      <c r="G54" s="24"/>
      <c r="H54" s="24">
        <v>1</v>
      </c>
      <c r="I54" s="26">
        <v>94.5</v>
      </c>
      <c r="J54" s="1"/>
    </row>
    <row r="55" spans="1:10" x14ac:dyDescent="0.2">
      <c r="A55" s="324"/>
      <c r="B55" s="22" t="s">
        <v>57</v>
      </c>
      <c r="C55" s="28">
        <v>44965</v>
      </c>
      <c r="D55" s="28">
        <v>44958</v>
      </c>
      <c r="E55" s="28">
        <v>44951</v>
      </c>
      <c r="F55" s="24" t="s">
        <v>56</v>
      </c>
      <c r="G55" s="24"/>
      <c r="H55" s="24">
        <v>1</v>
      </c>
      <c r="I55" s="26">
        <v>94.5</v>
      </c>
      <c r="J55" s="1"/>
    </row>
    <row r="56" spans="1:10" x14ac:dyDescent="0.2">
      <c r="A56" s="324"/>
      <c r="B56" s="22" t="s">
        <v>57</v>
      </c>
      <c r="C56" s="28">
        <v>44972</v>
      </c>
      <c r="D56" s="28">
        <v>44965</v>
      </c>
      <c r="E56" s="28">
        <v>44958</v>
      </c>
      <c r="F56" s="24" t="s">
        <v>56</v>
      </c>
      <c r="G56" s="24"/>
      <c r="H56" s="24">
        <v>1</v>
      </c>
      <c r="I56" s="26">
        <v>94.5</v>
      </c>
      <c r="J56" s="1"/>
    </row>
    <row r="57" spans="1:10" x14ac:dyDescent="0.2">
      <c r="A57" s="324"/>
      <c r="B57" s="22" t="s">
        <v>57</v>
      </c>
      <c r="C57" s="28">
        <v>44979</v>
      </c>
      <c r="D57" s="28">
        <v>44972</v>
      </c>
      <c r="E57" s="28">
        <v>44965</v>
      </c>
      <c r="F57" s="24" t="s">
        <v>56</v>
      </c>
      <c r="G57" s="24"/>
      <c r="H57" s="24">
        <v>1</v>
      </c>
      <c r="I57" s="26">
        <v>94.5</v>
      </c>
      <c r="J57" s="1"/>
    </row>
    <row r="58" spans="1:10" x14ac:dyDescent="0.2">
      <c r="A58" s="8"/>
      <c r="B58" s="22" t="s">
        <v>115</v>
      </c>
      <c r="C58" s="28"/>
      <c r="D58" s="28"/>
      <c r="E58" s="28"/>
      <c r="F58" s="24"/>
      <c r="G58" s="24"/>
      <c r="H58" s="24">
        <v>3</v>
      </c>
      <c r="I58" s="26">
        <f>PRODUCT(94.5,H58)</f>
        <v>283.5</v>
      </c>
      <c r="J58" s="1"/>
    </row>
    <row r="59" spans="1:10" x14ac:dyDescent="0.2">
      <c r="A59" s="8"/>
      <c r="B59" s="22" t="s">
        <v>116</v>
      </c>
      <c r="C59" s="28"/>
      <c r="D59" s="28"/>
      <c r="E59" s="28"/>
      <c r="F59" s="24"/>
      <c r="G59" s="24"/>
      <c r="H59" s="24">
        <v>3</v>
      </c>
      <c r="I59" s="26">
        <f>PRODUCT(94.5,H59)</f>
        <v>283.5</v>
      </c>
      <c r="J59" s="1"/>
    </row>
    <row r="60" spans="1:10" x14ac:dyDescent="0.2">
      <c r="A60" s="8"/>
      <c r="B60" s="22" t="s">
        <v>18</v>
      </c>
      <c r="C60" s="28"/>
      <c r="D60" s="28"/>
      <c r="E60" s="28"/>
      <c r="F60" s="24"/>
      <c r="G60" s="24"/>
      <c r="H60" s="24">
        <v>1</v>
      </c>
      <c r="I60" s="26">
        <v>94.5</v>
      </c>
      <c r="J60" s="1"/>
    </row>
    <row r="61" spans="1:10" x14ac:dyDescent="0.2">
      <c r="A61" s="8"/>
      <c r="B61" s="24" t="s">
        <v>117</v>
      </c>
      <c r="C61" s="28"/>
      <c r="D61" s="28"/>
      <c r="E61" s="28"/>
      <c r="F61" s="24" t="s">
        <v>118</v>
      </c>
      <c r="G61" s="24"/>
      <c r="H61" s="24">
        <v>3</v>
      </c>
      <c r="I61" s="35">
        <f>PRODUCT(56,H61)</f>
        <v>168</v>
      </c>
      <c r="J61" s="1"/>
    </row>
    <row r="62" spans="1:10" x14ac:dyDescent="0.2">
      <c r="A62" s="8"/>
      <c r="B62" s="24" t="s">
        <v>120</v>
      </c>
      <c r="C62" s="28"/>
      <c r="D62" s="28"/>
      <c r="E62" s="28"/>
      <c r="F62" s="24" t="s">
        <v>121</v>
      </c>
      <c r="G62" s="24"/>
      <c r="H62" s="24">
        <v>3</v>
      </c>
      <c r="I62" s="35">
        <f t="shared" ref="I62:I69" si="0">PRODUCT(56,H62)</f>
        <v>168</v>
      </c>
      <c r="J62" s="1"/>
    </row>
    <row r="63" spans="1:10" x14ac:dyDescent="0.2">
      <c r="A63" s="8"/>
      <c r="B63" s="24" t="s">
        <v>122</v>
      </c>
      <c r="C63" s="28"/>
      <c r="D63" s="28"/>
      <c r="E63" s="28"/>
      <c r="F63" s="24" t="s">
        <v>121</v>
      </c>
      <c r="G63" s="24"/>
      <c r="H63" s="24">
        <v>3</v>
      </c>
      <c r="I63" s="35">
        <f t="shared" si="0"/>
        <v>168</v>
      </c>
      <c r="J63" s="1"/>
    </row>
    <row r="64" spans="1:10" x14ac:dyDescent="0.2">
      <c r="A64" s="8"/>
      <c r="B64" s="24" t="s">
        <v>123</v>
      </c>
      <c r="C64" s="28"/>
      <c r="D64" s="28"/>
      <c r="E64" s="28"/>
      <c r="F64" s="24" t="s">
        <v>121</v>
      </c>
      <c r="G64" s="24"/>
      <c r="H64" s="24">
        <v>3</v>
      </c>
      <c r="I64" s="35">
        <f t="shared" si="0"/>
        <v>168</v>
      </c>
      <c r="J64" s="1"/>
    </row>
    <row r="65" spans="1:10" x14ac:dyDescent="0.2">
      <c r="A65" s="8"/>
      <c r="B65" s="24" t="s">
        <v>125</v>
      </c>
      <c r="C65" s="28"/>
      <c r="D65" s="28"/>
      <c r="E65" s="28"/>
      <c r="F65" s="24" t="s">
        <v>121</v>
      </c>
      <c r="G65" s="24"/>
      <c r="H65" s="24">
        <v>3</v>
      </c>
      <c r="I65" s="36">
        <f t="shared" si="0"/>
        <v>168</v>
      </c>
      <c r="J65" s="1"/>
    </row>
    <row r="66" spans="1:10" x14ac:dyDescent="0.2">
      <c r="A66" s="8"/>
      <c r="B66" s="24" t="s">
        <v>126</v>
      </c>
      <c r="C66" s="28"/>
      <c r="D66" s="28"/>
      <c r="E66" s="28"/>
      <c r="F66" s="24" t="s">
        <v>121</v>
      </c>
      <c r="G66" s="24"/>
      <c r="H66" s="24">
        <v>3</v>
      </c>
      <c r="I66" s="36">
        <f t="shared" si="0"/>
        <v>168</v>
      </c>
      <c r="J66" s="1"/>
    </row>
    <row r="67" spans="1:10" x14ac:dyDescent="0.2">
      <c r="A67" s="8"/>
      <c r="B67" s="37" t="s">
        <v>127</v>
      </c>
      <c r="C67" s="38"/>
      <c r="D67" s="38"/>
      <c r="E67" s="38"/>
      <c r="F67" s="24" t="s">
        <v>121</v>
      </c>
      <c r="G67" s="37"/>
      <c r="H67" s="37">
        <v>3</v>
      </c>
      <c r="I67" s="29">
        <f t="shared" si="0"/>
        <v>168</v>
      </c>
      <c r="J67" s="1"/>
    </row>
    <row r="68" spans="1:10" x14ac:dyDescent="0.2">
      <c r="A68" s="34"/>
      <c r="B68" s="42">
        <v>45292</v>
      </c>
      <c r="C68" s="39"/>
      <c r="D68" s="39"/>
      <c r="E68" s="39"/>
      <c r="F68" s="24" t="s">
        <v>121</v>
      </c>
      <c r="G68" s="40"/>
      <c r="H68" s="40">
        <v>3</v>
      </c>
      <c r="I68" s="41">
        <f t="shared" si="0"/>
        <v>168</v>
      </c>
      <c r="J68" s="13"/>
    </row>
    <row r="69" spans="1:10" x14ac:dyDescent="0.2">
      <c r="A69" s="34"/>
      <c r="B69" s="42">
        <v>45346</v>
      </c>
      <c r="C69" s="39"/>
      <c r="D69" s="39"/>
      <c r="E69" s="39"/>
      <c r="F69" s="24" t="s">
        <v>121</v>
      </c>
      <c r="G69" s="40"/>
      <c r="H69" s="40">
        <v>3</v>
      </c>
      <c r="I69" s="41">
        <f t="shared" si="0"/>
        <v>168</v>
      </c>
      <c r="J69" s="13"/>
    </row>
    <row r="70" spans="1:10" x14ac:dyDescent="0.2">
      <c r="A70" s="56"/>
      <c r="B70" s="3"/>
      <c r="C70" s="3"/>
      <c r="D70" s="3"/>
      <c r="E70" s="3"/>
      <c r="F70" s="3"/>
      <c r="G70" s="3"/>
      <c r="H70" s="3"/>
      <c r="I70" s="57">
        <f>SUM(I49:I69)</f>
        <v>3024</v>
      </c>
      <c r="J70" s="58"/>
    </row>
    <row r="71" spans="1:10" ht="17" customHeight="1" x14ac:dyDescent="0.2">
      <c r="A71" s="327" t="s">
        <v>133</v>
      </c>
      <c r="B71" s="42" t="s">
        <v>25</v>
      </c>
      <c r="C71" s="39"/>
      <c r="D71" s="39"/>
      <c r="E71" s="39"/>
      <c r="F71" s="24" t="s">
        <v>121</v>
      </c>
      <c r="G71" s="40"/>
      <c r="H71" s="40">
        <v>4</v>
      </c>
      <c r="I71" s="41">
        <v>920</v>
      </c>
      <c r="J71" s="13" t="s">
        <v>134</v>
      </c>
    </row>
    <row r="72" spans="1:10" x14ac:dyDescent="0.2">
      <c r="A72" s="328"/>
      <c r="B72" s="42" t="s">
        <v>55</v>
      </c>
      <c r="C72" s="39"/>
      <c r="D72" s="39"/>
      <c r="E72" s="39"/>
      <c r="F72" s="24" t="s">
        <v>121</v>
      </c>
      <c r="G72" s="40"/>
      <c r="H72" s="40">
        <v>5</v>
      </c>
      <c r="I72" s="41">
        <v>1150</v>
      </c>
      <c r="J72" s="13" t="s">
        <v>136</v>
      </c>
    </row>
    <row r="73" spans="1:10" x14ac:dyDescent="0.2">
      <c r="A73" s="328"/>
      <c r="B73" s="42"/>
      <c r="C73" s="39"/>
      <c r="D73" s="39"/>
      <c r="E73" s="39"/>
      <c r="F73" s="24"/>
      <c r="G73" s="40"/>
      <c r="H73" s="40"/>
      <c r="I73" s="41"/>
      <c r="J73" s="13"/>
    </row>
    <row r="74" spans="1:10" x14ac:dyDescent="0.2">
      <c r="A74" s="328"/>
      <c r="B74" s="42"/>
      <c r="C74" s="39"/>
      <c r="D74" s="39"/>
      <c r="E74" s="39"/>
      <c r="F74" s="24"/>
      <c r="G74" s="40"/>
      <c r="H74" s="40"/>
      <c r="I74" s="41"/>
      <c r="J74" s="13"/>
    </row>
    <row r="75" spans="1:10" x14ac:dyDescent="0.2">
      <c r="A75" s="329"/>
      <c r="B75" s="42"/>
      <c r="C75" s="39"/>
      <c r="D75" s="39"/>
      <c r="E75" s="39"/>
      <c r="F75" s="24"/>
      <c r="G75" s="40"/>
      <c r="H75" s="40"/>
      <c r="I75" s="41"/>
      <c r="J75" s="13"/>
    </row>
    <row r="76" spans="1:10" x14ac:dyDescent="0.2">
      <c r="A76" s="67"/>
      <c r="B76" s="6"/>
      <c r="C76" s="6"/>
      <c r="D76" s="6"/>
      <c r="E76" s="6"/>
      <c r="F76" s="6"/>
      <c r="G76" s="6"/>
      <c r="H76" s="6"/>
      <c r="I76" s="65">
        <f>SUM(I71:I72)</f>
        <v>2070</v>
      </c>
      <c r="J76" s="1"/>
    </row>
    <row r="77" spans="1:10" x14ac:dyDescent="0.2">
      <c r="I77" s="5"/>
      <c r="J77" s="64"/>
    </row>
    <row r="78" spans="1:10" ht="19" x14ac:dyDescent="0.25">
      <c r="A78" s="320" t="s">
        <v>59</v>
      </c>
      <c r="B78" s="321"/>
      <c r="C78" s="322"/>
      <c r="D78" s="297"/>
      <c r="E78" s="298"/>
      <c r="F78" s="54"/>
      <c r="G78" s="54"/>
      <c r="H78" s="54"/>
      <c r="I78" s="55"/>
      <c r="J78" s="54"/>
    </row>
    <row r="79" spans="1:10" x14ac:dyDescent="0.2">
      <c r="A79" s="317" t="s">
        <v>60</v>
      </c>
      <c r="B79" s="318"/>
      <c r="C79" s="319"/>
      <c r="D79" s="297" t="s">
        <v>66</v>
      </c>
      <c r="E79" s="323"/>
      <c r="F79" s="52"/>
      <c r="G79" s="52"/>
      <c r="H79" s="52"/>
      <c r="I79" s="53"/>
      <c r="J79" s="52"/>
    </row>
    <row r="80" spans="1:10" x14ac:dyDescent="0.2">
      <c r="A80" s="50" t="s">
        <v>61</v>
      </c>
      <c r="B80" s="48"/>
      <c r="C80" s="49"/>
      <c r="D80" s="314" t="s">
        <v>70</v>
      </c>
      <c r="E80" s="316"/>
      <c r="F80" s="40" t="s">
        <v>71</v>
      </c>
      <c r="G80" s="40"/>
      <c r="H80" s="40"/>
      <c r="I80" s="41">
        <v>440</v>
      </c>
      <c r="J80" s="43"/>
    </row>
    <row r="81" spans="1:10" x14ac:dyDescent="0.2">
      <c r="A81" s="317" t="s">
        <v>62</v>
      </c>
      <c r="B81" s="318"/>
      <c r="C81" s="319"/>
      <c r="D81" s="317" t="s">
        <v>68</v>
      </c>
      <c r="E81" s="319"/>
      <c r="F81" s="43"/>
      <c r="G81" s="43"/>
      <c r="H81" s="43"/>
      <c r="I81" s="44"/>
      <c r="J81" s="43"/>
    </row>
    <row r="82" spans="1:10" x14ac:dyDescent="0.2">
      <c r="A82" s="314" t="s">
        <v>63</v>
      </c>
      <c r="B82" s="315"/>
      <c r="C82" s="316"/>
      <c r="D82" s="317"/>
      <c r="E82" s="319"/>
      <c r="F82" s="43"/>
      <c r="G82" s="43"/>
      <c r="H82" s="43"/>
      <c r="I82" s="44"/>
      <c r="J82" s="43"/>
    </row>
    <row r="83" spans="1:10" x14ac:dyDescent="0.2">
      <c r="A83" s="314" t="s">
        <v>64</v>
      </c>
      <c r="B83" s="315"/>
      <c r="C83" s="316"/>
      <c r="D83" s="50" t="s">
        <v>66</v>
      </c>
      <c r="E83" s="50"/>
      <c r="F83" s="40"/>
      <c r="G83" s="40" t="s">
        <v>128</v>
      </c>
      <c r="H83" s="51">
        <v>45205</v>
      </c>
      <c r="I83" s="41" t="s">
        <v>129</v>
      </c>
      <c r="J83" s="43"/>
    </row>
    <row r="84" spans="1:10" x14ac:dyDescent="0.2">
      <c r="A84" s="314" t="s">
        <v>65</v>
      </c>
      <c r="B84" s="315"/>
      <c r="C84" s="316"/>
      <c r="D84" s="317"/>
      <c r="E84" s="319"/>
      <c r="F84" s="43"/>
      <c r="G84" s="43"/>
      <c r="H84" s="43"/>
      <c r="I84" s="44"/>
      <c r="J84" s="43"/>
    </row>
    <row r="85" spans="1:10" x14ac:dyDescent="0.2">
      <c r="A85" s="317" t="s">
        <v>67</v>
      </c>
      <c r="B85" s="318"/>
      <c r="C85" s="319"/>
      <c r="D85" s="317" t="s">
        <v>69</v>
      </c>
      <c r="E85" s="319"/>
      <c r="F85" s="43"/>
      <c r="G85" s="43"/>
      <c r="H85" s="43"/>
      <c r="I85" s="44"/>
      <c r="J85" s="43"/>
    </row>
    <row r="86" spans="1:10" x14ac:dyDescent="0.2">
      <c r="I86" s="5"/>
    </row>
    <row r="87" spans="1:10" x14ac:dyDescent="0.2">
      <c r="A87" s="30" t="s">
        <v>114</v>
      </c>
    </row>
    <row r="88" spans="1:10" ht="19" x14ac:dyDescent="0.25">
      <c r="A88" s="66" t="s">
        <v>132</v>
      </c>
      <c r="G88" s="45" t="s">
        <v>72</v>
      </c>
      <c r="H88" s="46"/>
      <c r="I88" s="47">
        <f>SUM(I11+I15+I19+I22+I26+I28+I32+I37+I41+I48+I70+I76+I80)</f>
        <v>30689</v>
      </c>
    </row>
  </sheetData>
  <mergeCells count="26">
    <mergeCell ref="A71:A75"/>
    <mergeCell ref="A42:A47"/>
    <mergeCell ref="A49:A57"/>
    <mergeCell ref="A29:A31"/>
    <mergeCell ref="G40:H40"/>
    <mergeCell ref="A33:A36"/>
    <mergeCell ref="A38:A40"/>
    <mergeCell ref="A12:A14"/>
    <mergeCell ref="A16:A18"/>
    <mergeCell ref="A20:A21"/>
    <mergeCell ref="A23:A25"/>
    <mergeCell ref="A2:A10"/>
    <mergeCell ref="A84:C84"/>
    <mergeCell ref="A85:C85"/>
    <mergeCell ref="A78:C78"/>
    <mergeCell ref="D78:E78"/>
    <mergeCell ref="D79:E79"/>
    <mergeCell ref="D80:E80"/>
    <mergeCell ref="D81:E81"/>
    <mergeCell ref="D82:E82"/>
    <mergeCell ref="D84:E84"/>
    <mergeCell ref="D85:E85"/>
    <mergeCell ref="A79:C79"/>
    <mergeCell ref="A81:C81"/>
    <mergeCell ref="A82:C82"/>
    <mergeCell ref="A83:C83"/>
  </mergeCells>
  <phoneticPr fontId="4" type="noConversion"/>
  <pageMargins left="0.7" right="0.7" top="0.75" bottom="0.75" header="0.3" footer="0.3"/>
  <pageSetup scale="48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A792-6FC9-C049-9A13-DBEC14ED8A2D}">
  <sheetPr>
    <pageSetUpPr fitToPage="1"/>
  </sheetPr>
  <dimension ref="A1:R59"/>
  <sheetViews>
    <sheetView zoomScale="110" zoomScaleNormal="110" workbookViewId="0">
      <pane ySplit="1" topLeftCell="A31" activePane="bottomLeft" state="frozen"/>
      <selection pane="bottomLeft" activeCell="A48" sqref="A48:I49"/>
    </sheetView>
  </sheetViews>
  <sheetFormatPr baseColWidth="10" defaultRowHeight="16" x14ac:dyDescent="0.2"/>
  <cols>
    <col min="1" max="1" width="26.83203125" customWidth="1"/>
    <col min="2" max="2" width="26.5" customWidth="1"/>
    <col min="3" max="3" width="15.5" customWidth="1"/>
    <col min="4" max="4" width="11.6640625" customWidth="1"/>
    <col min="5" max="5" width="12.83203125" customWidth="1"/>
    <col min="6" max="6" width="26.1640625" customWidth="1"/>
    <col min="7" max="7" width="17.5" customWidth="1"/>
    <col min="9" max="9" width="12" customWidth="1"/>
    <col min="10" max="10" width="13.5" customWidth="1"/>
    <col min="11" max="11" width="10.83203125" customWidth="1"/>
    <col min="12" max="13" width="11.83203125" customWidth="1"/>
    <col min="14" max="14" width="10.83203125" customWidth="1"/>
    <col min="15" max="15" width="10.1640625" customWidth="1"/>
    <col min="16" max="18" width="10.83203125" customWidth="1"/>
  </cols>
  <sheetData>
    <row r="1" spans="1:18" ht="34" x14ac:dyDescent="0.2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19" t="s">
        <v>5</v>
      </c>
      <c r="G1" s="19" t="s">
        <v>6</v>
      </c>
      <c r="H1" s="21" t="s">
        <v>7</v>
      </c>
      <c r="I1" s="76" t="s">
        <v>85</v>
      </c>
      <c r="J1" s="90" t="s">
        <v>8</v>
      </c>
      <c r="K1" s="86" t="s">
        <v>147</v>
      </c>
      <c r="L1" s="71" t="s">
        <v>145</v>
      </c>
      <c r="M1" s="84" t="s">
        <v>183</v>
      </c>
      <c r="N1" s="71" t="s">
        <v>146</v>
      </c>
      <c r="O1" s="84" t="s">
        <v>186</v>
      </c>
      <c r="P1" s="84" t="s">
        <v>187</v>
      </c>
      <c r="Q1" s="84" t="s">
        <v>169</v>
      </c>
      <c r="R1" s="84" t="s">
        <v>170</v>
      </c>
    </row>
    <row r="2" spans="1:18" ht="16" customHeight="1" x14ac:dyDescent="0.2">
      <c r="A2" s="333" t="s">
        <v>153</v>
      </c>
      <c r="B2" s="95" t="s">
        <v>137</v>
      </c>
      <c r="C2" s="96">
        <v>45317</v>
      </c>
      <c r="D2" s="96">
        <v>45310</v>
      </c>
      <c r="E2" s="96">
        <v>45303</v>
      </c>
      <c r="F2" s="37" t="s">
        <v>10</v>
      </c>
      <c r="G2" s="97">
        <v>32000</v>
      </c>
      <c r="H2" s="98">
        <v>1</v>
      </c>
      <c r="I2" s="99" t="s">
        <v>131</v>
      </c>
      <c r="J2" s="94">
        <f>$K2/(1-$L$2)</f>
        <v>710</v>
      </c>
      <c r="K2" s="87">
        <v>568</v>
      </c>
      <c r="L2" s="72">
        <v>0.2</v>
      </c>
      <c r="M2" s="85" t="s">
        <v>149</v>
      </c>
      <c r="N2" s="77" t="s">
        <v>149</v>
      </c>
      <c r="O2" s="77" t="s">
        <v>149</v>
      </c>
      <c r="P2" s="77" t="s">
        <v>149</v>
      </c>
      <c r="Q2" s="77"/>
      <c r="R2" s="77"/>
    </row>
    <row r="3" spans="1:18" ht="16" customHeight="1" x14ac:dyDescent="0.2">
      <c r="A3" s="334"/>
      <c r="B3" s="24" t="s">
        <v>16</v>
      </c>
      <c r="C3" s="96">
        <v>45324</v>
      </c>
      <c r="D3" s="96">
        <v>45320</v>
      </c>
      <c r="E3" s="96">
        <v>45313</v>
      </c>
      <c r="F3" s="37" t="s">
        <v>10</v>
      </c>
      <c r="G3" s="97">
        <v>32000</v>
      </c>
      <c r="H3" s="98">
        <v>1</v>
      </c>
      <c r="I3" s="99" t="s">
        <v>93</v>
      </c>
      <c r="J3" s="94">
        <f>$K3/(1-$L$2)</f>
        <v>780.99999999999989</v>
      </c>
      <c r="K3" s="87">
        <v>624.79999999999995</v>
      </c>
      <c r="L3" s="72"/>
      <c r="M3" s="85" t="s">
        <v>190</v>
      </c>
      <c r="N3" s="77" t="s">
        <v>149</v>
      </c>
      <c r="O3" s="77" t="s">
        <v>190</v>
      </c>
      <c r="P3" s="77" t="s">
        <v>190</v>
      </c>
      <c r="Q3" s="77"/>
      <c r="R3" s="77"/>
    </row>
    <row r="4" spans="1:18" x14ac:dyDescent="0.2">
      <c r="A4" s="334"/>
      <c r="B4" s="22" t="s">
        <v>138</v>
      </c>
      <c r="C4" s="23">
        <v>45352</v>
      </c>
      <c r="D4" s="23">
        <v>45337</v>
      </c>
      <c r="E4" s="23">
        <v>45330</v>
      </c>
      <c r="F4" s="24" t="s">
        <v>10</v>
      </c>
      <c r="G4" s="97">
        <v>32000</v>
      </c>
      <c r="H4" s="103">
        <v>1</v>
      </c>
      <c r="I4" s="104" t="s">
        <v>173</v>
      </c>
      <c r="J4" s="94">
        <f t="shared" ref="J4:J9" si="0">$K4/(1-$L$2)</f>
        <v>710</v>
      </c>
      <c r="K4" s="87">
        <v>568</v>
      </c>
      <c r="L4" s="43"/>
      <c r="M4" s="77" t="s">
        <v>190</v>
      </c>
      <c r="N4" s="77" t="s">
        <v>149</v>
      </c>
      <c r="O4" s="77" t="s">
        <v>190</v>
      </c>
      <c r="P4" s="77" t="s">
        <v>190</v>
      </c>
      <c r="Q4" s="77"/>
      <c r="R4" s="77"/>
    </row>
    <row r="5" spans="1:18" x14ac:dyDescent="0.2">
      <c r="A5" s="334"/>
      <c r="B5" s="22" t="s">
        <v>139</v>
      </c>
      <c r="C5" s="23">
        <v>45387</v>
      </c>
      <c r="D5" s="23">
        <v>45372</v>
      </c>
      <c r="E5" s="23">
        <v>45365</v>
      </c>
      <c r="F5" s="24" t="s">
        <v>10</v>
      </c>
      <c r="G5" s="97">
        <v>32000</v>
      </c>
      <c r="H5" s="103">
        <v>1</v>
      </c>
      <c r="I5" s="104" t="s">
        <v>174</v>
      </c>
      <c r="J5" s="94">
        <f t="shared" si="0"/>
        <v>710</v>
      </c>
      <c r="K5" s="87">
        <v>568</v>
      </c>
      <c r="L5" s="43"/>
      <c r="M5" s="77" t="s">
        <v>149</v>
      </c>
      <c r="N5" s="77" t="s">
        <v>149</v>
      </c>
      <c r="O5" s="77" t="s">
        <v>149</v>
      </c>
      <c r="P5" s="77" t="s">
        <v>149</v>
      </c>
      <c r="Q5" s="77"/>
      <c r="R5" s="77"/>
    </row>
    <row r="6" spans="1:18" x14ac:dyDescent="0.2">
      <c r="A6" s="334"/>
      <c r="B6" s="22" t="s">
        <v>13</v>
      </c>
      <c r="C6" s="23">
        <v>45513</v>
      </c>
      <c r="D6" s="23">
        <v>45498</v>
      </c>
      <c r="E6" s="23">
        <v>45491</v>
      </c>
      <c r="F6" s="24" t="s">
        <v>10</v>
      </c>
      <c r="G6" s="97">
        <v>32000</v>
      </c>
      <c r="H6" s="103">
        <v>1</v>
      </c>
      <c r="I6" s="104" t="s">
        <v>180</v>
      </c>
      <c r="J6" s="94">
        <f>$K6/(1-$L$2)</f>
        <v>710</v>
      </c>
      <c r="K6" s="87">
        <v>568</v>
      </c>
      <c r="L6" s="43"/>
      <c r="M6" s="77" t="s">
        <v>149</v>
      </c>
      <c r="N6" s="77" t="s">
        <v>149</v>
      </c>
      <c r="O6" s="77" t="s">
        <v>149</v>
      </c>
      <c r="P6" s="77" t="s">
        <v>149</v>
      </c>
      <c r="Q6" s="77"/>
      <c r="R6" s="77"/>
    </row>
    <row r="7" spans="1:18" x14ac:dyDescent="0.2">
      <c r="A7" s="334"/>
      <c r="B7" s="22" t="s">
        <v>14</v>
      </c>
      <c r="C7" s="23">
        <v>45541</v>
      </c>
      <c r="D7" s="23">
        <v>45526</v>
      </c>
      <c r="E7" s="23">
        <v>45519</v>
      </c>
      <c r="F7" s="24" t="s">
        <v>10</v>
      </c>
      <c r="G7" s="97">
        <v>32000</v>
      </c>
      <c r="H7" s="103">
        <v>1</v>
      </c>
      <c r="I7" s="104" t="s">
        <v>175</v>
      </c>
      <c r="J7" s="94">
        <f t="shared" si="0"/>
        <v>710</v>
      </c>
      <c r="K7" s="87">
        <v>568</v>
      </c>
      <c r="L7" s="43"/>
      <c r="M7" s="77" t="s">
        <v>149</v>
      </c>
      <c r="N7" s="77" t="s">
        <v>149</v>
      </c>
      <c r="O7" s="77" t="s">
        <v>149</v>
      </c>
      <c r="P7" s="77" t="s">
        <v>149</v>
      </c>
      <c r="Q7" s="77"/>
      <c r="R7" s="77"/>
    </row>
    <row r="8" spans="1:18" x14ac:dyDescent="0.2">
      <c r="A8" s="334"/>
      <c r="B8" s="22" t="s">
        <v>140</v>
      </c>
      <c r="C8" s="23">
        <v>45590</v>
      </c>
      <c r="D8" s="23">
        <v>45575</v>
      </c>
      <c r="E8" s="23">
        <v>45568</v>
      </c>
      <c r="F8" s="24" t="s">
        <v>10</v>
      </c>
      <c r="G8" s="97">
        <v>32000</v>
      </c>
      <c r="H8" s="103">
        <v>1</v>
      </c>
      <c r="I8" s="104" t="s">
        <v>176</v>
      </c>
      <c r="J8" s="94">
        <f t="shared" si="0"/>
        <v>710</v>
      </c>
      <c r="K8" s="87">
        <v>568</v>
      </c>
      <c r="L8" s="43"/>
      <c r="M8" s="77" t="s">
        <v>149</v>
      </c>
      <c r="N8" s="77" t="s">
        <v>149</v>
      </c>
      <c r="O8" s="77" t="s">
        <v>149</v>
      </c>
      <c r="P8" s="77" t="s">
        <v>149</v>
      </c>
      <c r="Q8" s="77"/>
      <c r="R8" s="77"/>
    </row>
    <row r="9" spans="1:18" x14ac:dyDescent="0.2">
      <c r="A9" s="335"/>
      <c r="B9" s="136" t="s">
        <v>15</v>
      </c>
      <c r="C9" s="96">
        <v>45597</v>
      </c>
      <c r="D9" s="96">
        <v>45582</v>
      </c>
      <c r="E9" s="96">
        <v>45575</v>
      </c>
      <c r="F9" s="37" t="s">
        <v>10</v>
      </c>
      <c r="G9" s="97">
        <v>32000</v>
      </c>
      <c r="H9" s="137">
        <v>1</v>
      </c>
      <c r="I9" s="104" t="s">
        <v>177</v>
      </c>
      <c r="J9" s="94">
        <f t="shared" si="0"/>
        <v>710</v>
      </c>
      <c r="K9" s="87">
        <v>568</v>
      </c>
      <c r="L9" s="43"/>
      <c r="M9" s="77" t="s">
        <v>149</v>
      </c>
      <c r="N9" s="77" t="s">
        <v>149</v>
      </c>
      <c r="O9" s="77" t="s">
        <v>149</v>
      </c>
      <c r="P9" s="77" t="s">
        <v>149</v>
      </c>
      <c r="Q9" s="77"/>
      <c r="R9" s="77"/>
    </row>
    <row r="10" spans="1:18" x14ac:dyDescent="0.2">
      <c r="A10" s="6"/>
      <c r="B10" s="3"/>
      <c r="C10" s="4"/>
      <c r="D10" s="4"/>
      <c r="E10" s="4"/>
      <c r="F10" s="3"/>
      <c r="G10" s="3"/>
      <c r="H10" s="3"/>
      <c r="I10" s="82"/>
      <c r="J10" s="91">
        <f>SUM(J2:J9)</f>
        <v>5751</v>
      </c>
      <c r="K10" s="88"/>
      <c r="L10" s="74"/>
      <c r="M10" s="78"/>
      <c r="N10" s="79"/>
      <c r="O10" s="79"/>
      <c r="P10" s="79"/>
      <c r="Q10" s="79"/>
      <c r="R10" s="79"/>
    </row>
    <row r="11" spans="1:18" x14ac:dyDescent="0.2">
      <c r="A11" s="340" t="s">
        <v>152</v>
      </c>
      <c r="B11" s="22" t="s">
        <v>17</v>
      </c>
      <c r="C11" s="23">
        <v>45427</v>
      </c>
      <c r="D11" s="23">
        <v>45379</v>
      </c>
      <c r="E11" s="23">
        <v>45371</v>
      </c>
      <c r="F11" s="24" t="s">
        <v>19</v>
      </c>
      <c r="G11" s="24"/>
      <c r="H11" s="24">
        <v>1</v>
      </c>
      <c r="I11" s="93" t="s">
        <v>156</v>
      </c>
      <c r="J11" s="94">
        <f t="shared" ref="J11:J13" si="1">$K11/(1-$L$2)</f>
        <v>865.19999999999993</v>
      </c>
      <c r="K11" s="87">
        <v>692.16</v>
      </c>
      <c r="L11" s="43"/>
      <c r="M11" s="77" t="s">
        <v>149</v>
      </c>
      <c r="N11" s="77" t="s">
        <v>149</v>
      </c>
      <c r="O11" s="77" t="s">
        <v>149</v>
      </c>
      <c r="P11" s="77" t="s">
        <v>149</v>
      </c>
      <c r="Q11" s="77"/>
      <c r="R11" s="77"/>
    </row>
    <row r="12" spans="1:18" x14ac:dyDescent="0.2">
      <c r="A12" s="340"/>
      <c r="B12" s="22" t="s">
        <v>20</v>
      </c>
      <c r="C12" s="23">
        <v>45566</v>
      </c>
      <c r="D12" s="23">
        <v>45527</v>
      </c>
      <c r="E12" s="23">
        <v>45524</v>
      </c>
      <c r="F12" s="24" t="s">
        <v>19</v>
      </c>
      <c r="G12" s="24"/>
      <c r="H12" s="24">
        <v>1</v>
      </c>
      <c r="I12" s="93" t="s">
        <v>157</v>
      </c>
      <c r="J12" s="94">
        <f t="shared" si="1"/>
        <v>865.19999999999993</v>
      </c>
      <c r="K12" s="87">
        <v>692.16</v>
      </c>
      <c r="L12" s="43"/>
      <c r="M12" s="77" t="s">
        <v>149</v>
      </c>
      <c r="N12" s="77" t="s">
        <v>149</v>
      </c>
      <c r="O12" s="77" t="s">
        <v>149</v>
      </c>
      <c r="P12" s="77" t="s">
        <v>149</v>
      </c>
      <c r="Q12" s="77"/>
      <c r="R12" s="77"/>
    </row>
    <row r="13" spans="1:18" x14ac:dyDescent="0.2">
      <c r="A13" s="340"/>
      <c r="B13" s="22" t="s">
        <v>22</v>
      </c>
      <c r="C13" s="23">
        <v>45689</v>
      </c>
      <c r="D13" s="23">
        <v>45646</v>
      </c>
      <c r="E13" s="23">
        <v>45639</v>
      </c>
      <c r="F13" s="24" t="s">
        <v>19</v>
      </c>
      <c r="G13" s="24"/>
      <c r="H13" s="24">
        <v>1</v>
      </c>
      <c r="I13" s="93" t="s">
        <v>158</v>
      </c>
      <c r="J13" s="94">
        <f t="shared" si="1"/>
        <v>865.19999999999993</v>
      </c>
      <c r="K13" s="87">
        <v>692.16</v>
      </c>
      <c r="L13" s="43"/>
      <c r="M13" s="77" t="s">
        <v>149</v>
      </c>
      <c r="N13" s="77"/>
      <c r="O13" s="77"/>
      <c r="P13" s="77"/>
      <c r="Q13" s="77"/>
      <c r="R13" s="77"/>
    </row>
    <row r="14" spans="1:18" x14ac:dyDescent="0.2">
      <c r="A14" s="6"/>
      <c r="B14" s="3"/>
      <c r="C14" s="4"/>
      <c r="D14" s="4"/>
      <c r="E14" s="4"/>
      <c r="F14" s="3"/>
      <c r="G14" s="3"/>
      <c r="H14" s="3"/>
      <c r="I14" s="82"/>
      <c r="J14" s="92">
        <f>SUM(J11:J13)</f>
        <v>2595.6</v>
      </c>
      <c r="K14" s="88"/>
      <c r="L14" s="75"/>
      <c r="M14" s="79"/>
      <c r="N14" s="79"/>
      <c r="O14" s="79"/>
      <c r="P14" s="79"/>
      <c r="Q14" s="79"/>
      <c r="R14" s="79"/>
    </row>
    <row r="15" spans="1:18" x14ac:dyDescent="0.2">
      <c r="A15" s="340" t="s">
        <v>78</v>
      </c>
      <c r="B15" s="22" t="s">
        <v>23</v>
      </c>
      <c r="C15" s="23">
        <v>45408</v>
      </c>
      <c r="D15" s="23">
        <v>45394</v>
      </c>
      <c r="E15" s="23">
        <v>45387</v>
      </c>
      <c r="F15" s="24" t="s">
        <v>172</v>
      </c>
      <c r="G15" s="24">
        <v>1700</v>
      </c>
      <c r="H15" s="24">
        <v>1</v>
      </c>
      <c r="I15" s="93" t="s">
        <v>178</v>
      </c>
      <c r="J15" s="94">
        <f t="shared" ref="J15:J17" si="2">$K15/(1-$L$2)</f>
        <v>776.25</v>
      </c>
      <c r="K15" s="87">
        <v>621</v>
      </c>
      <c r="L15" s="43"/>
      <c r="M15" s="77" t="s">
        <v>149</v>
      </c>
      <c r="N15" s="77" t="s">
        <v>149</v>
      </c>
      <c r="O15" s="77" t="s">
        <v>149</v>
      </c>
      <c r="P15" s="77" t="s">
        <v>149</v>
      </c>
      <c r="Q15" s="77"/>
      <c r="R15" s="77"/>
    </row>
    <row r="16" spans="1:18" x14ac:dyDescent="0.2">
      <c r="A16" s="340"/>
      <c r="B16" s="22" t="s">
        <v>171</v>
      </c>
      <c r="C16" s="23">
        <v>45483</v>
      </c>
      <c r="D16" s="23">
        <v>45471</v>
      </c>
      <c r="E16" s="23">
        <v>45464</v>
      </c>
      <c r="F16" s="24" t="s">
        <v>172</v>
      </c>
      <c r="G16" s="24">
        <v>1700</v>
      </c>
      <c r="H16" s="24">
        <v>1</v>
      </c>
      <c r="I16" s="93" t="s">
        <v>193</v>
      </c>
      <c r="J16" s="94">
        <f t="shared" si="2"/>
        <v>776.25</v>
      </c>
      <c r="K16" s="87">
        <v>621</v>
      </c>
      <c r="L16" s="43"/>
      <c r="M16" s="77" t="s">
        <v>149</v>
      </c>
      <c r="N16" s="77" t="s">
        <v>149</v>
      </c>
      <c r="O16" s="77" t="s">
        <v>149</v>
      </c>
      <c r="P16" s="77" t="s">
        <v>149</v>
      </c>
      <c r="Q16" s="77"/>
      <c r="R16" s="77"/>
    </row>
    <row r="17" spans="1:18" x14ac:dyDescent="0.2">
      <c r="A17" s="340"/>
      <c r="B17" s="22" t="s">
        <v>21</v>
      </c>
      <c r="C17" s="23">
        <v>45569</v>
      </c>
      <c r="D17" s="23">
        <v>45555</v>
      </c>
      <c r="E17" s="23">
        <v>45548</v>
      </c>
      <c r="F17" s="24" t="s">
        <v>172</v>
      </c>
      <c r="G17" s="24">
        <v>1700</v>
      </c>
      <c r="H17" s="24">
        <v>1</v>
      </c>
      <c r="I17" s="93" t="s">
        <v>179</v>
      </c>
      <c r="J17" s="94">
        <f t="shared" si="2"/>
        <v>776.25</v>
      </c>
      <c r="K17" s="87">
        <v>621</v>
      </c>
      <c r="L17" s="43"/>
      <c r="M17" s="77" t="s">
        <v>149</v>
      </c>
      <c r="N17" s="77" t="s">
        <v>149</v>
      </c>
      <c r="O17" s="77" t="s">
        <v>149</v>
      </c>
      <c r="P17" s="77" t="s">
        <v>149</v>
      </c>
      <c r="Q17" s="77"/>
      <c r="R17" s="77"/>
    </row>
    <row r="18" spans="1:18" x14ac:dyDescent="0.2">
      <c r="A18" s="6"/>
      <c r="B18" s="3"/>
      <c r="C18" s="4"/>
      <c r="D18" s="4"/>
      <c r="E18" s="4"/>
      <c r="F18" s="3"/>
      <c r="G18" s="3"/>
      <c r="H18" s="3"/>
      <c r="I18" s="82"/>
      <c r="J18" s="92">
        <f>SUM(J15:J17)</f>
        <v>2328.75</v>
      </c>
      <c r="K18" s="88"/>
      <c r="L18" s="75"/>
      <c r="M18" s="79"/>
      <c r="N18" s="79"/>
      <c r="O18" s="79"/>
      <c r="P18" s="79"/>
      <c r="Q18" s="79"/>
      <c r="R18" s="79"/>
    </row>
    <row r="19" spans="1:18" ht="18" customHeight="1" x14ac:dyDescent="0.2">
      <c r="A19" s="324" t="s">
        <v>151</v>
      </c>
      <c r="B19" s="22" t="s">
        <v>119</v>
      </c>
      <c r="C19" s="23" t="s">
        <v>196</v>
      </c>
      <c r="D19" s="23">
        <v>45471</v>
      </c>
      <c r="E19" s="23">
        <v>45464</v>
      </c>
      <c r="F19" s="24" t="s">
        <v>148</v>
      </c>
      <c r="G19" s="25">
        <v>400000</v>
      </c>
      <c r="H19" s="24">
        <v>1</v>
      </c>
      <c r="I19" s="93" t="s">
        <v>181</v>
      </c>
      <c r="J19" s="94">
        <f t="shared" ref="J19:J20" si="3">$K19/(1-$L$2)</f>
        <v>1875</v>
      </c>
      <c r="K19" s="87">
        <v>1500</v>
      </c>
      <c r="L19" s="43"/>
      <c r="M19" s="77"/>
      <c r="N19" s="77"/>
      <c r="O19" s="77"/>
      <c r="P19" s="77"/>
      <c r="Q19" s="77"/>
      <c r="R19" s="77"/>
    </row>
    <row r="20" spans="1:18" ht="16" customHeight="1" x14ac:dyDescent="0.2">
      <c r="A20" s="324"/>
      <c r="B20" s="141">
        <v>45658</v>
      </c>
      <c r="C20" s="23" t="s">
        <v>57</v>
      </c>
      <c r="D20" s="23">
        <v>45646</v>
      </c>
      <c r="E20" s="23">
        <v>45639</v>
      </c>
      <c r="F20" s="105" t="s">
        <v>148</v>
      </c>
      <c r="G20" s="25">
        <v>400000</v>
      </c>
      <c r="H20" s="24">
        <v>1</v>
      </c>
      <c r="I20" s="93" t="s">
        <v>182</v>
      </c>
      <c r="J20" s="94">
        <f t="shared" si="3"/>
        <v>1875</v>
      </c>
      <c r="K20" s="87">
        <v>1500</v>
      </c>
      <c r="L20" s="43"/>
      <c r="M20" s="77"/>
      <c r="N20" s="77"/>
      <c r="O20" s="77"/>
      <c r="P20" s="77"/>
      <c r="Q20" s="77"/>
      <c r="R20" s="77"/>
    </row>
    <row r="21" spans="1:18" x14ac:dyDescent="0.2">
      <c r="A21" s="6"/>
      <c r="B21" s="14"/>
      <c r="C21" s="7"/>
      <c r="D21" s="7"/>
      <c r="E21" s="7"/>
      <c r="F21" s="6"/>
      <c r="G21" s="6"/>
      <c r="H21" s="6"/>
      <c r="I21" s="82"/>
      <c r="J21" s="65">
        <f>SUM(J19:J20)</f>
        <v>3750</v>
      </c>
      <c r="K21" s="88"/>
      <c r="L21" s="75"/>
      <c r="M21" s="79"/>
      <c r="N21" s="79"/>
      <c r="O21" s="79"/>
      <c r="P21" s="79"/>
      <c r="Q21" s="79"/>
      <c r="R21" s="79"/>
    </row>
    <row r="22" spans="1:18" x14ac:dyDescent="0.2">
      <c r="A22" s="324" t="s">
        <v>150</v>
      </c>
      <c r="B22" s="22" t="s">
        <v>27</v>
      </c>
      <c r="C22" s="23">
        <v>45337</v>
      </c>
      <c r="D22" s="23">
        <v>45321</v>
      </c>
      <c r="E22" s="23">
        <v>45314</v>
      </c>
      <c r="F22" s="24" t="s">
        <v>43</v>
      </c>
      <c r="G22" s="24">
        <v>3600</v>
      </c>
      <c r="H22" s="24">
        <v>1</v>
      </c>
      <c r="I22" s="93" t="s">
        <v>159</v>
      </c>
      <c r="J22" s="94">
        <f>$K22/(1-$L$2)</f>
        <v>437.5</v>
      </c>
      <c r="K22" s="87">
        <v>350</v>
      </c>
      <c r="L22" s="43"/>
      <c r="M22" s="77" t="s">
        <v>149</v>
      </c>
      <c r="N22" s="77" t="s">
        <v>149</v>
      </c>
      <c r="O22" s="77" t="s">
        <v>149</v>
      </c>
      <c r="P22" s="77" t="s">
        <v>149</v>
      </c>
      <c r="Q22" s="77"/>
      <c r="R22" s="77"/>
    </row>
    <row r="23" spans="1:18" x14ac:dyDescent="0.2">
      <c r="A23" s="324"/>
      <c r="B23" s="22" t="s">
        <v>28</v>
      </c>
      <c r="C23" s="23">
        <v>45458</v>
      </c>
      <c r="D23" s="23">
        <v>45442</v>
      </c>
      <c r="E23" s="23">
        <v>45435</v>
      </c>
      <c r="F23" s="24" t="s">
        <v>43</v>
      </c>
      <c r="G23" s="24">
        <v>3600</v>
      </c>
      <c r="H23" s="24">
        <v>1</v>
      </c>
      <c r="I23" s="93" t="s">
        <v>160</v>
      </c>
      <c r="J23" s="94">
        <f t="shared" ref="J23:J24" si="4">$K23/(1-$L$2)</f>
        <v>437.5</v>
      </c>
      <c r="K23" s="87">
        <v>350</v>
      </c>
      <c r="L23" s="43"/>
      <c r="M23" s="77" t="s">
        <v>149</v>
      </c>
      <c r="N23" s="77" t="s">
        <v>149</v>
      </c>
      <c r="O23" s="77" t="s">
        <v>149</v>
      </c>
      <c r="P23" s="77" t="s">
        <v>149</v>
      </c>
      <c r="Q23" s="77"/>
      <c r="R23" s="77"/>
    </row>
    <row r="24" spans="1:18" x14ac:dyDescent="0.2">
      <c r="A24" s="324"/>
      <c r="B24" s="22" t="s">
        <v>20</v>
      </c>
      <c r="C24" s="23">
        <v>45581</v>
      </c>
      <c r="D24" s="23">
        <v>45564</v>
      </c>
      <c r="E24" s="23">
        <v>45555</v>
      </c>
      <c r="F24" s="24" t="s">
        <v>43</v>
      </c>
      <c r="G24" s="24">
        <v>3600</v>
      </c>
      <c r="H24" s="24">
        <v>1</v>
      </c>
      <c r="I24" s="93" t="s">
        <v>161</v>
      </c>
      <c r="J24" s="94">
        <f t="shared" si="4"/>
        <v>437.5</v>
      </c>
      <c r="K24" s="87">
        <v>350</v>
      </c>
      <c r="L24" s="43"/>
      <c r="M24" s="77" t="s">
        <v>149</v>
      </c>
      <c r="N24" s="77" t="s">
        <v>149</v>
      </c>
      <c r="O24" s="77" t="s">
        <v>149</v>
      </c>
      <c r="P24" s="77" t="s">
        <v>149</v>
      </c>
      <c r="Q24" s="77"/>
      <c r="R24" s="77"/>
    </row>
    <row r="25" spans="1:18" x14ac:dyDescent="0.2">
      <c r="A25" s="6"/>
      <c r="B25" s="14"/>
      <c r="C25" s="7"/>
      <c r="D25" s="7"/>
      <c r="E25" s="7"/>
      <c r="F25" s="6"/>
      <c r="G25" s="6"/>
      <c r="H25" s="6"/>
      <c r="I25" s="82"/>
      <c r="J25" s="65">
        <f>SUM(J22:J24)</f>
        <v>1312.5</v>
      </c>
      <c r="K25" s="88"/>
      <c r="L25" s="75"/>
      <c r="M25" s="79"/>
      <c r="N25" s="79"/>
      <c r="O25" s="79"/>
      <c r="P25" s="79"/>
      <c r="Q25" s="79"/>
      <c r="R25" s="79"/>
    </row>
    <row r="26" spans="1:18" ht="46" customHeight="1" x14ac:dyDescent="0.2">
      <c r="A26" s="83" t="s">
        <v>155</v>
      </c>
      <c r="B26" s="130" t="s">
        <v>30</v>
      </c>
      <c r="C26" s="133" t="s">
        <v>184</v>
      </c>
      <c r="D26" s="133">
        <v>45473</v>
      </c>
      <c r="E26" s="133">
        <v>45457</v>
      </c>
      <c r="F26" s="131" t="s">
        <v>31</v>
      </c>
      <c r="G26" s="134"/>
      <c r="H26" s="134">
        <v>1</v>
      </c>
      <c r="I26" s="135" t="s">
        <v>168</v>
      </c>
      <c r="J26" s="132">
        <v>95</v>
      </c>
      <c r="K26" s="89">
        <v>95</v>
      </c>
      <c r="L26" s="73"/>
      <c r="M26" s="80"/>
      <c r="N26" s="77"/>
      <c r="O26" s="77"/>
      <c r="P26" s="77"/>
      <c r="Q26" s="77"/>
      <c r="R26" s="77"/>
    </row>
    <row r="27" spans="1:18" x14ac:dyDescent="0.2">
      <c r="A27" s="6"/>
      <c r="B27" s="3"/>
      <c r="C27" s="4"/>
      <c r="D27" s="4"/>
      <c r="E27" s="4"/>
      <c r="F27" s="3"/>
      <c r="G27" s="3"/>
      <c r="H27" s="3"/>
      <c r="I27" s="82"/>
      <c r="J27" s="92">
        <f>SUM(J26)</f>
        <v>95</v>
      </c>
      <c r="K27" s="88"/>
      <c r="L27" s="75"/>
      <c r="M27" s="79"/>
      <c r="N27" s="79"/>
      <c r="O27" s="79"/>
      <c r="P27" s="79"/>
      <c r="Q27" s="79"/>
      <c r="R27" s="79"/>
    </row>
    <row r="28" spans="1:18" ht="19" customHeight="1" x14ac:dyDescent="0.2">
      <c r="A28" s="324" t="s">
        <v>195</v>
      </c>
      <c r="B28" s="24" t="s">
        <v>142</v>
      </c>
      <c r="C28" s="23">
        <v>45322</v>
      </c>
      <c r="D28" s="23">
        <v>45306</v>
      </c>
      <c r="E28" s="23">
        <v>45303</v>
      </c>
      <c r="F28" s="24" t="s">
        <v>44</v>
      </c>
      <c r="G28" s="24"/>
      <c r="H28" s="24">
        <v>1</v>
      </c>
      <c r="I28" s="93" t="s">
        <v>162</v>
      </c>
      <c r="J28" s="94">
        <f t="shared" ref="J28:J29" si="5">$K28/(1-$L$2)</f>
        <v>652.5</v>
      </c>
      <c r="K28" s="87">
        <v>522</v>
      </c>
      <c r="L28" s="43"/>
      <c r="M28" s="77" t="s">
        <v>149</v>
      </c>
      <c r="N28" s="77" t="s">
        <v>149</v>
      </c>
      <c r="O28" s="77" t="s">
        <v>149</v>
      </c>
      <c r="P28" s="77" t="s">
        <v>149</v>
      </c>
      <c r="Q28" s="77"/>
      <c r="R28" s="77"/>
    </row>
    <row r="29" spans="1:18" ht="19" customHeight="1" x14ac:dyDescent="0.2">
      <c r="A29" s="324"/>
      <c r="B29" s="22" t="s">
        <v>141</v>
      </c>
      <c r="C29" s="23">
        <v>45525</v>
      </c>
      <c r="D29" s="23">
        <v>45504</v>
      </c>
      <c r="E29" s="23">
        <v>45497</v>
      </c>
      <c r="F29" s="24" t="s">
        <v>44</v>
      </c>
      <c r="G29" s="24"/>
      <c r="H29" s="24"/>
      <c r="I29" s="93" t="s">
        <v>163</v>
      </c>
      <c r="J29" s="94">
        <f t="shared" si="5"/>
        <v>637.5</v>
      </c>
      <c r="K29" s="87">
        <v>510</v>
      </c>
      <c r="L29" s="43"/>
      <c r="M29" s="77" t="s">
        <v>149</v>
      </c>
      <c r="N29" s="77" t="s">
        <v>149</v>
      </c>
      <c r="O29" s="77" t="s">
        <v>149</v>
      </c>
      <c r="P29" s="77" t="s">
        <v>149</v>
      </c>
      <c r="Q29" s="77"/>
      <c r="R29" s="77"/>
    </row>
    <row r="30" spans="1:18" x14ac:dyDescent="0.2">
      <c r="A30" s="6"/>
      <c r="B30" s="14"/>
      <c r="C30" s="7"/>
      <c r="D30" s="7"/>
      <c r="E30" s="7"/>
      <c r="F30" s="6"/>
      <c r="G30" s="6"/>
      <c r="H30" s="6"/>
      <c r="I30" s="82"/>
      <c r="J30" s="65">
        <f>SUM(J28:J29)</f>
        <v>1290</v>
      </c>
      <c r="K30" s="88"/>
      <c r="L30" s="75"/>
      <c r="M30" s="79"/>
      <c r="N30" s="79"/>
      <c r="O30" s="79"/>
      <c r="P30" s="79"/>
      <c r="Q30" s="79"/>
      <c r="R30" s="79"/>
    </row>
    <row r="31" spans="1:18" x14ac:dyDescent="0.2">
      <c r="A31" s="332" t="s">
        <v>154</v>
      </c>
      <c r="B31" s="22" t="s">
        <v>143</v>
      </c>
      <c r="C31" s="23">
        <v>45324</v>
      </c>
      <c r="D31" s="23">
        <v>45317</v>
      </c>
      <c r="E31" s="23">
        <v>45315</v>
      </c>
      <c r="F31" s="24" t="s">
        <v>73</v>
      </c>
      <c r="G31" s="24"/>
      <c r="H31" s="24">
        <v>1</v>
      </c>
      <c r="I31" s="93" t="s">
        <v>164</v>
      </c>
      <c r="J31" s="94">
        <f>$K31/(1-$L$2)</f>
        <v>500</v>
      </c>
      <c r="K31" s="87">
        <v>400</v>
      </c>
      <c r="L31" s="81"/>
      <c r="M31" s="77" t="s">
        <v>149</v>
      </c>
      <c r="N31" s="77" t="s">
        <v>149</v>
      </c>
      <c r="O31" s="77" t="s">
        <v>149</v>
      </c>
      <c r="P31" s="77" t="s">
        <v>149</v>
      </c>
      <c r="Q31" s="77"/>
      <c r="R31" s="77"/>
    </row>
    <row r="32" spans="1:18" x14ac:dyDescent="0.2">
      <c r="A32" s="332"/>
      <c r="B32" s="22" t="s">
        <v>144</v>
      </c>
      <c r="C32" s="23">
        <v>45415</v>
      </c>
      <c r="D32" s="23">
        <v>45408</v>
      </c>
      <c r="E32" s="23">
        <v>45406</v>
      </c>
      <c r="F32" s="24" t="s">
        <v>73</v>
      </c>
      <c r="G32" s="24"/>
      <c r="H32" s="24">
        <v>1</v>
      </c>
      <c r="I32" s="93" t="s">
        <v>165</v>
      </c>
      <c r="J32" s="94">
        <f t="shared" ref="J32:J34" si="6">$K32/(1-$L$2)</f>
        <v>500</v>
      </c>
      <c r="K32" s="87">
        <v>400</v>
      </c>
      <c r="L32" s="43"/>
      <c r="M32" s="77" t="s">
        <v>149</v>
      </c>
      <c r="N32" s="77" t="s">
        <v>149</v>
      </c>
      <c r="O32" s="77" t="s">
        <v>149</v>
      </c>
      <c r="P32" s="77" t="s">
        <v>149</v>
      </c>
      <c r="Q32" s="77"/>
      <c r="R32" s="77"/>
    </row>
    <row r="33" spans="1:18" x14ac:dyDescent="0.2">
      <c r="A33" s="332"/>
      <c r="B33" s="22" t="s">
        <v>39</v>
      </c>
      <c r="C33" s="23">
        <v>45555</v>
      </c>
      <c r="D33" s="23">
        <v>45548</v>
      </c>
      <c r="E33" s="23">
        <v>45546</v>
      </c>
      <c r="F33" s="24" t="s">
        <v>73</v>
      </c>
      <c r="G33" s="24"/>
      <c r="H33" s="24">
        <v>1</v>
      </c>
      <c r="I33" s="93" t="s">
        <v>166</v>
      </c>
      <c r="J33" s="94">
        <f t="shared" si="6"/>
        <v>500</v>
      </c>
      <c r="K33" s="87">
        <v>400</v>
      </c>
      <c r="L33" s="43"/>
      <c r="M33" s="77" t="s">
        <v>149</v>
      </c>
      <c r="N33" s="77" t="s">
        <v>149</v>
      </c>
      <c r="O33" s="77" t="s">
        <v>149</v>
      </c>
      <c r="P33" s="77" t="s">
        <v>149</v>
      </c>
      <c r="Q33" s="77"/>
      <c r="R33" s="77"/>
    </row>
    <row r="34" spans="1:18" x14ac:dyDescent="0.2">
      <c r="A34" s="332"/>
      <c r="B34" s="22" t="s">
        <v>40</v>
      </c>
      <c r="C34" s="23">
        <v>45646</v>
      </c>
      <c r="D34" s="23">
        <v>45639</v>
      </c>
      <c r="E34" s="23">
        <v>45637</v>
      </c>
      <c r="F34" s="24" t="s">
        <v>73</v>
      </c>
      <c r="G34" s="24"/>
      <c r="H34" s="24">
        <v>1</v>
      </c>
      <c r="I34" s="93" t="s">
        <v>167</v>
      </c>
      <c r="J34" s="94">
        <f t="shared" si="6"/>
        <v>500</v>
      </c>
      <c r="K34" s="87">
        <v>400</v>
      </c>
      <c r="L34" s="43"/>
      <c r="M34" s="77" t="s">
        <v>149</v>
      </c>
      <c r="N34" s="77" t="s">
        <v>149</v>
      </c>
      <c r="O34" s="77" t="s">
        <v>149</v>
      </c>
      <c r="P34" s="77" t="s">
        <v>149</v>
      </c>
      <c r="Q34" s="77"/>
      <c r="R34" s="77"/>
    </row>
    <row r="35" spans="1:18" x14ac:dyDescent="0.2">
      <c r="A35" s="6"/>
      <c r="B35" s="14"/>
      <c r="C35" s="7"/>
      <c r="D35" s="7"/>
      <c r="E35" s="7"/>
      <c r="F35" s="6"/>
      <c r="G35" s="6"/>
      <c r="H35" s="6"/>
      <c r="I35" s="82"/>
      <c r="J35" s="65">
        <f>SUM(J31:J34)</f>
        <v>2000</v>
      </c>
      <c r="K35" s="88"/>
      <c r="L35" s="75"/>
      <c r="M35" s="79"/>
      <c r="N35" s="79"/>
      <c r="O35" s="79"/>
      <c r="P35" s="79"/>
      <c r="Q35" s="79"/>
      <c r="R35" s="79"/>
    </row>
    <row r="36" spans="1:18" x14ac:dyDescent="0.2">
      <c r="I36" s="64"/>
      <c r="J36" s="5"/>
      <c r="K36" s="64"/>
    </row>
    <row r="37" spans="1:18" ht="19" x14ac:dyDescent="0.25">
      <c r="A37" s="114" t="s">
        <v>197</v>
      </c>
      <c r="B37" s="101"/>
      <c r="C37" s="102"/>
      <c r="D37" s="297"/>
      <c r="E37" s="298"/>
      <c r="F37" s="54"/>
      <c r="G37" s="54"/>
      <c r="H37" s="54"/>
      <c r="I37" s="54"/>
      <c r="J37" s="55"/>
    </row>
    <row r="38" spans="1:18" x14ac:dyDescent="0.2">
      <c r="A38" s="48" t="s">
        <v>60</v>
      </c>
      <c r="B38" s="106"/>
      <c r="C38" s="49"/>
      <c r="D38" s="336" t="s">
        <v>201</v>
      </c>
      <c r="E38" s="337"/>
      <c r="F38" s="128" t="s">
        <v>202</v>
      </c>
      <c r="G38" s="128"/>
      <c r="H38" s="128"/>
      <c r="I38" s="128"/>
      <c r="J38" s="129"/>
    </row>
    <row r="39" spans="1:18" x14ac:dyDescent="0.2">
      <c r="A39" s="107" t="s">
        <v>61</v>
      </c>
      <c r="B39" s="108"/>
      <c r="C39" s="109"/>
      <c r="D39" s="338" t="s">
        <v>70</v>
      </c>
      <c r="E39" s="339"/>
      <c r="F39" s="110" t="s">
        <v>71</v>
      </c>
      <c r="G39" s="110" t="s">
        <v>192</v>
      </c>
      <c r="H39" s="110"/>
      <c r="I39" s="110"/>
      <c r="J39" s="111"/>
    </row>
    <row r="40" spans="1:18" x14ac:dyDescent="0.2">
      <c r="A40" s="108" t="s">
        <v>62</v>
      </c>
      <c r="B40" s="112"/>
      <c r="C40" s="109"/>
      <c r="D40" s="338" t="s">
        <v>68</v>
      </c>
      <c r="E40" s="339"/>
      <c r="F40" s="110"/>
      <c r="G40" s="113" t="s">
        <v>194</v>
      </c>
      <c r="H40" s="110"/>
      <c r="I40" s="110"/>
      <c r="J40" s="111"/>
    </row>
    <row r="41" spans="1:18" x14ac:dyDescent="0.2">
      <c r="A41" s="48" t="s">
        <v>63</v>
      </c>
      <c r="B41" s="106"/>
      <c r="C41" s="49"/>
      <c r="D41" s="314" t="s">
        <v>188</v>
      </c>
      <c r="E41" s="316"/>
      <c r="F41" s="40" t="s">
        <v>189</v>
      </c>
      <c r="G41" s="40" t="s">
        <v>128</v>
      </c>
      <c r="H41" s="40"/>
      <c r="I41" s="40"/>
      <c r="J41" s="41"/>
    </row>
    <row r="42" spans="1:18" ht="65" customHeight="1" x14ac:dyDescent="0.2">
      <c r="A42" s="48" t="s">
        <v>64</v>
      </c>
      <c r="B42" s="106"/>
      <c r="C42" s="49"/>
      <c r="D42" s="50" t="s">
        <v>66</v>
      </c>
      <c r="E42" s="50"/>
      <c r="F42" s="51">
        <v>45205</v>
      </c>
      <c r="G42" s="40" t="s">
        <v>128</v>
      </c>
      <c r="H42" s="126" t="s">
        <v>199</v>
      </c>
      <c r="I42" s="127" t="s">
        <v>200</v>
      </c>
      <c r="J42" s="41" t="s">
        <v>129</v>
      </c>
    </row>
    <row r="43" spans="1:18" x14ac:dyDescent="0.2">
      <c r="A43" s="68" t="s">
        <v>65</v>
      </c>
      <c r="B43" s="100" t="s">
        <v>203</v>
      </c>
      <c r="C43" s="69"/>
      <c r="D43" s="317"/>
      <c r="E43" s="319"/>
      <c r="F43" s="43"/>
      <c r="G43" s="43"/>
      <c r="H43" s="43"/>
      <c r="I43" s="43"/>
      <c r="J43" s="44"/>
    </row>
    <row r="44" spans="1:18" x14ac:dyDescent="0.2">
      <c r="A44" s="68" t="s">
        <v>67</v>
      </c>
      <c r="B44" s="100"/>
      <c r="C44" s="69"/>
      <c r="D44" s="317" t="s">
        <v>69</v>
      </c>
      <c r="E44" s="319"/>
      <c r="F44" s="43"/>
      <c r="G44" s="43"/>
      <c r="H44" s="43"/>
      <c r="I44" s="43"/>
      <c r="J44" s="44"/>
    </row>
    <row r="45" spans="1:18" x14ac:dyDescent="0.2">
      <c r="J45" s="5"/>
    </row>
    <row r="46" spans="1:18" ht="19" x14ac:dyDescent="0.25">
      <c r="A46" s="304" t="s">
        <v>191</v>
      </c>
      <c r="B46" s="304"/>
      <c r="C46" s="305"/>
      <c r="D46" s="70"/>
    </row>
    <row r="47" spans="1:18" x14ac:dyDescent="0.2">
      <c r="A47" s="30" t="s">
        <v>204</v>
      </c>
      <c r="B47" s="40" t="s">
        <v>207</v>
      </c>
      <c r="C47" s="51">
        <v>45660</v>
      </c>
      <c r="D47" s="51">
        <v>45644</v>
      </c>
      <c r="E47" s="51">
        <v>45637</v>
      </c>
      <c r="F47" s="40" t="s">
        <v>205</v>
      </c>
      <c r="G47" s="40"/>
      <c r="H47" s="40"/>
      <c r="I47" s="40" t="s">
        <v>206</v>
      </c>
      <c r="J47" s="140">
        <v>887.5</v>
      </c>
      <c r="K47" s="35">
        <v>710</v>
      </c>
    </row>
    <row r="48" spans="1:18" x14ac:dyDescent="0.2">
      <c r="A48" s="43" t="s">
        <v>209</v>
      </c>
      <c r="B48" s="43" t="s">
        <v>210</v>
      </c>
      <c r="C48" s="43"/>
      <c r="D48" s="43"/>
      <c r="E48" s="43"/>
      <c r="F48" s="43" t="s">
        <v>211</v>
      </c>
      <c r="G48" s="43"/>
      <c r="H48" s="43"/>
      <c r="I48" s="43" t="s">
        <v>215</v>
      </c>
      <c r="J48" s="115"/>
      <c r="K48" s="1"/>
    </row>
    <row r="49" spans="1:11" x14ac:dyDescent="0.2">
      <c r="A49" s="43" t="s">
        <v>212</v>
      </c>
      <c r="B49" s="43" t="s">
        <v>213</v>
      </c>
      <c r="C49" s="43"/>
      <c r="D49" s="43"/>
      <c r="E49" s="43"/>
      <c r="F49" s="43" t="s">
        <v>214</v>
      </c>
      <c r="G49" s="43"/>
      <c r="H49" s="43"/>
      <c r="I49" s="43" t="s">
        <v>216</v>
      </c>
      <c r="J49" s="115"/>
      <c r="K49" s="1"/>
    </row>
    <row r="50" spans="1:11" x14ac:dyDescent="0.2">
      <c r="A50" s="43"/>
      <c r="B50" s="43"/>
      <c r="C50" s="43"/>
      <c r="D50" s="43"/>
      <c r="E50" s="43"/>
      <c r="F50" s="43"/>
      <c r="G50" s="43"/>
      <c r="H50" s="43"/>
      <c r="I50" s="43"/>
      <c r="J50" s="115"/>
      <c r="K50" s="1"/>
    </row>
    <row r="51" spans="1:11" x14ac:dyDescent="0.2">
      <c r="A51" s="43"/>
      <c r="B51" s="43"/>
      <c r="C51" s="43"/>
      <c r="D51" s="43"/>
      <c r="E51" s="43"/>
      <c r="F51" s="43"/>
      <c r="G51" s="43"/>
      <c r="H51" s="43"/>
      <c r="I51" s="43"/>
      <c r="J51" s="115"/>
      <c r="K51" s="1"/>
    </row>
    <row r="52" spans="1:11" x14ac:dyDescent="0.2">
      <c r="A52" s="43"/>
      <c r="B52" s="43"/>
      <c r="C52" s="43"/>
      <c r="D52" s="43"/>
      <c r="E52" s="43"/>
      <c r="F52" s="43"/>
      <c r="G52" s="43"/>
      <c r="H52" s="43"/>
      <c r="I52" s="43"/>
      <c r="J52" s="115"/>
      <c r="K52" s="1"/>
    </row>
    <row r="53" spans="1:11" x14ac:dyDescent="0.2">
      <c r="A53" s="43"/>
      <c r="B53" s="43"/>
      <c r="C53" s="43"/>
      <c r="D53" s="43"/>
      <c r="E53" s="43"/>
      <c r="F53" s="43"/>
      <c r="G53" s="43"/>
      <c r="H53" s="43"/>
      <c r="I53" s="43"/>
      <c r="J53" s="115"/>
      <c r="K53" s="1"/>
    </row>
    <row r="54" spans="1:11" x14ac:dyDescent="0.2">
      <c r="A54" s="43"/>
      <c r="B54" s="43"/>
      <c r="C54" s="43"/>
      <c r="D54" s="43"/>
      <c r="E54" s="43"/>
      <c r="F54" s="43"/>
      <c r="G54" s="43"/>
      <c r="H54" s="43"/>
      <c r="I54" s="43"/>
      <c r="J54" s="115"/>
      <c r="K54" s="1"/>
    </row>
    <row r="55" spans="1:1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115"/>
      <c r="K55" s="1"/>
    </row>
    <row r="56" spans="1:11" x14ac:dyDescent="0.2">
      <c r="B56" s="43"/>
      <c r="C56" s="43"/>
      <c r="D56" s="43"/>
      <c r="E56" s="43"/>
      <c r="F56" s="43"/>
      <c r="G56" s="43"/>
      <c r="H56" s="43"/>
      <c r="I56" s="138" t="s">
        <v>208</v>
      </c>
      <c r="J56" s="139">
        <f>SUM(J47:J55)</f>
        <v>887.5</v>
      </c>
      <c r="K56" s="123">
        <f>SUM(K47:K55)</f>
        <v>710</v>
      </c>
    </row>
    <row r="58" spans="1:11" ht="19" x14ac:dyDescent="0.25">
      <c r="A58" s="30" t="s">
        <v>114</v>
      </c>
      <c r="G58" s="45" t="s">
        <v>185</v>
      </c>
      <c r="H58" s="46"/>
      <c r="I58" s="46"/>
      <c r="J58" s="47">
        <f>SUM(J10+J14+J18+J21+J25+J27+J30+J35+J56)</f>
        <v>20010.349999999999</v>
      </c>
    </row>
    <row r="59" spans="1:11" x14ac:dyDescent="0.2">
      <c r="A59" s="66" t="s">
        <v>132</v>
      </c>
    </row>
  </sheetData>
  <sheetProtection selectLockedCells="1"/>
  <mergeCells count="15">
    <mergeCell ref="A46:C46"/>
    <mergeCell ref="A2:A9"/>
    <mergeCell ref="D43:E43"/>
    <mergeCell ref="A31:A34"/>
    <mergeCell ref="D44:E44"/>
    <mergeCell ref="D37:E37"/>
    <mergeCell ref="D38:E38"/>
    <mergeCell ref="D39:E39"/>
    <mergeCell ref="D40:E40"/>
    <mergeCell ref="D41:E41"/>
    <mergeCell ref="A28:A29"/>
    <mergeCell ref="A11:A13"/>
    <mergeCell ref="A15:A17"/>
    <mergeCell ref="A19:A20"/>
    <mergeCell ref="A22:A24"/>
  </mergeCells>
  <phoneticPr fontId="4" type="noConversion"/>
  <pageMargins left="0.7" right="0.7" top="0.75" bottom="0.75" header="0.3" footer="0.3"/>
  <pageSetup scale="44" orientation="landscape" horizontalDpi="0" verticalDpi="0"/>
  <ignoredErrors>
    <ignoredError sqref="J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8055-2389-B14C-AEB4-761433CC5795}">
  <sheetPr>
    <pageSetUpPr fitToPage="1"/>
  </sheetPr>
  <dimension ref="A1:R74"/>
  <sheetViews>
    <sheetView zoomScaleNormal="100" workbookViewId="0">
      <pane ySplit="1" topLeftCell="A35" activePane="bottomLeft" state="frozen"/>
      <selection pane="bottomLeft" activeCell="K56" sqref="K56"/>
    </sheetView>
  </sheetViews>
  <sheetFormatPr baseColWidth="10" defaultRowHeight="16" x14ac:dyDescent="0.2"/>
  <cols>
    <col min="1" max="1" width="26.83203125" customWidth="1"/>
    <col min="2" max="2" width="62.33203125" customWidth="1"/>
    <col min="3" max="3" width="15.5" customWidth="1"/>
    <col min="4" max="4" width="11.6640625" customWidth="1"/>
    <col min="5" max="5" width="12.83203125" customWidth="1"/>
    <col min="6" max="6" width="27.33203125" customWidth="1"/>
    <col min="7" max="7" width="17.5" customWidth="1"/>
    <col min="10" max="10" width="13.5" customWidth="1"/>
    <col min="11" max="11" width="13" customWidth="1"/>
    <col min="12" max="13" width="11.83203125" customWidth="1"/>
    <col min="14" max="14" width="10.83203125" customWidth="1"/>
    <col min="15" max="15" width="10.1640625" customWidth="1"/>
    <col min="16" max="18" width="10.83203125" customWidth="1"/>
  </cols>
  <sheetData>
    <row r="1" spans="1:18" ht="34" x14ac:dyDescent="0.2">
      <c r="A1" s="19" t="s">
        <v>256</v>
      </c>
      <c r="B1" s="19" t="s">
        <v>1</v>
      </c>
      <c r="C1" s="20" t="s">
        <v>2</v>
      </c>
      <c r="D1" s="20" t="s">
        <v>3</v>
      </c>
      <c r="E1" s="20" t="s">
        <v>4</v>
      </c>
      <c r="F1" s="19" t="s">
        <v>5</v>
      </c>
      <c r="G1" s="19" t="s">
        <v>6</v>
      </c>
      <c r="H1" s="21" t="s">
        <v>7</v>
      </c>
      <c r="I1" s="76" t="s">
        <v>85</v>
      </c>
      <c r="J1" s="90" t="s">
        <v>8</v>
      </c>
      <c r="K1" s="86" t="s">
        <v>147</v>
      </c>
      <c r="L1" s="71" t="s">
        <v>145</v>
      </c>
      <c r="M1" s="84" t="s">
        <v>183</v>
      </c>
      <c r="N1" s="71" t="s">
        <v>146</v>
      </c>
      <c r="O1" s="84" t="s">
        <v>186</v>
      </c>
      <c r="P1" s="84" t="s">
        <v>187</v>
      </c>
      <c r="Q1" s="84" t="s">
        <v>169</v>
      </c>
      <c r="R1" s="84" t="s">
        <v>170</v>
      </c>
    </row>
    <row r="2" spans="1:18" ht="16" customHeight="1" x14ac:dyDescent="0.2">
      <c r="A2" s="301" t="s">
        <v>153</v>
      </c>
      <c r="B2" s="95" t="s">
        <v>251</v>
      </c>
      <c r="C2" s="96">
        <v>45695</v>
      </c>
      <c r="D2" s="96">
        <v>45679</v>
      </c>
      <c r="E2" s="96">
        <v>45672</v>
      </c>
      <c r="F2" s="37" t="s">
        <v>10</v>
      </c>
      <c r="G2" s="97">
        <v>32000</v>
      </c>
      <c r="H2" s="98">
        <v>1</v>
      </c>
      <c r="I2" s="99" t="s">
        <v>255</v>
      </c>
      <c r="J2" s="94">
        <f>$K2/(1-$L$2)</f>
        <v>710</v>
      </c>
      <c r="K2" s="152">
        <v>568</v>
      </c>
      <c r="L2" s="72">
        <v>0.2</v>
      </c>
      <c r="M2" s="85" t="s">
        <v>259</v>
      </c>
      <c r="N2" s="85" t="s">
        <v>259</v>
      </c>
      <c r="O2" s="85" t="s">
        <v>259</v>
      </c>
      <c r="P2" s="85" t="s">
        <v>259</v>
      </c>
      <c r="Q2" s="77"/>
      <c r="R2" s="77"/>
    </row>
    <row r="3" spans="1:18" ht="16" customHeight="1" x14ac:dyDescent="0.2">
      <c r="A3" s="302"/>
      <c r="B3" s="166" t="s">
        <v>138</v>
      </c>
      <c r="C3" s="172">
        <v>45723</v>
      </c>
      <c r="D3" s="172">
        <v>45707</v>
      </c>
      <c r="E3" s="172">
        <v>45700</v>
      </c>
      <c r="F3" s="173" t="s">
        <v>10</v>
      </c>
      <c r="G3" s="174">
        <v>32000</v>
      </c>
      <c r="H3" s="175">
        <v>1</v>
      </c>
      <c r="I3" s="176" t="s">
        <v>230</v>
      </c>
      <c r="J3" s="170">
        <f>$K3/(1-$L$2)</f>
        <v>710</v>
      </c>
      <c r="K3" s="171">
        <v>568</v>
      </c>
      <c r="L3" s="72"/>
      <c r="M3" s="85" t="s">
        <v>259</v>
      </c>
      <c r="N3" s="77" t="s">
        <v>259</v>
      </c>
      <c r="O3" s="77" t="s">
        <v>259</v>
      </c>
      <c r="P3" s="77" t="s">
        <v>259</v>
      </c>
      <c r="Q3" s="77"/>
      <c r="R3" s="77"/>
    </row>
    <row r="4" spans="1:18" x14ac:dyDescent="0.2">
      <c r="A4" s="302"/>
      <c r="B4" s="22" t="s">
        <v>139</v>
      </c>
      <c r="C4" s="23">
        <v>45751</v>
      </c>
      <c r="D4" s="23">
        <v>45735</v>
      </c>
      <c r="E4" s="23">
        <v>45728</v>
      </c>
      <c r="F4" s="24" t="s">
        <v>10</v>
      </c>
      <c r="G4" s="97">
        <v>32000</v>
      </c>
      <c r="H4" s="103">
        <v>1</v>
      </c>
      <c r="I4" s="104" t="s">
        <v>231</v>
      </c>
      <c r="J4" s="94">
        <f t="shared" ref="J4:J6" si="0">$K4/(1-$L$2)</f>
        <v>710</v>
      </c>
      <c r="K4" s="152">
        <v>568</v>
      </c>
      <c r="L4" s="43"/>
      <c r="M4" s="85" t="s">
        <v>259</v>
      </c>
      <c r="N4" s="85" t="s">
        <v>259</v>
      </c>
      <c r="O4" s="85" t="s">
        <v>259</v>
      </c>
      <c r="P4" s="85" t="s">
        <v>259</v>
      </c>
      <c r="Q4" s="77"/>
      <c r="R4" s="77"/>
    </row>
    <row r="5" spans="1:18" x14ac:dyDescent="0.2">
      <c r="A5" s="302"/>
      <c r="B5" s="22" t="s">
        <v>14</v>
      </c>
      <c r="C5" s="23">
        <v>45905</v>
      </c>
      <c r="D5" s="23">
        <v>45889</v>
      </c>
      <c r="E5" s="23">
        <v>45882</v>
      </c>
      <c r="F5" s="24" t="s">
        <v>276</v>
      </c>
      <c r="G5" s="97">
        <v>32000</v>
      </c>
      <c r="H5" s="103">
        <v>1</v>
      </c>
      <c r="I5" s="104" t="s">
        <v>232</v>
      </c>
      <c r="J5" s="94">
        <f t="shared" si="0"/>
        <v>710</v>
      </c>
      <c r="K5" s="152">
        <v>568</v>
      </c>
      <c r="L5" s="43"/>
      <c r="M5" s="85" t="s">
        <v>259</v>
      </c>
      <c r="N5" s="85" t="s">
        <v>259</v>
      </c>
      <c r="O5" s="85" t="s">
        <v>259</v>
      </c>
      <c r="P5" s="85" t="s">
        <v>259</v>
      </c>
      <c r="Q5" s="77"/>
      <c r="R5" s="77"/>
    </row>
    <row r="6" spans="1:18" x14ac:dyDescent="0.2">
      <c r="A6" s="302"/>
      <c r="B6" s="22" t="s">
        <v>140</v>
      </c>
      <c r="C6" s="23">
        <v>45954</v>
      </c>
      <c r="D6" s="23">
        <v>45938</v>
      </c>
      <c r="E6" s="23">
        <v>45931</v>
      </c>
      <c r="F6" s="24" t="s">
        <v>10</v>
      </c>
      <c r="G6" s="97">
        <v>32000</v>
      </c>
      <c r="H6" s="103">
        <v>1</v>
      </c>
      <c r="I6" s="104" t="s">
        <v>254</v>
      </c>
      <c r="J6" s="94">
        <f t="shared" si="0"/>
        <v>710</v>
      </c>
      <c r="K6" s="152">
        <v>568</v>
      </c>
      <c r="L6" s="43"/>
      <c r="M6" s="85" t="s">
        <v>259</v>
      </c>
      <c r="N6" s="85" t="s">
        <v>259</v>
      </c>
      <c r="O6" s="85" t="s">
        <v>259</v>
      </c>
      <c r="P6" s="77" t="s">
        <v>259</v>
      </c>
      <c r="Q6" s="77"/>
      <c r="R6" s="77"/>
    </row>
    <row r="7" spans="1:18" x14ac:dyDescent="0.2">
      <c r="A7" s="302"/>
      <c r="B7" s="24" t="s">
        <v>15</v>
      </c>
      <c r="C7" s="23">
        <v>45968</v>
      </c>
      <c r="D7" s="23">
        <v>45952</v>
      </c>
      <c r="E7" s="23">
        <v>45945</v>
      </c>
      <c r="F7" s="24" t="s">
        <v>10</v>
      </c>
      <c r="G7" s="97">
        <v>32000</v>
      </c>
      <c r="H7" s="103">
        <v>1</v>
      </c>
      <c r="I7" s="104" t="s">
        <v>233</v>
      </c>
      <c r="J7" s="94">
        <f>$K7/(1-$L$2)</f>
        <v>710</v>
      </c>
      <c r="K7" s="152">
        <v>568</v>
      </c>
      <c r="L7" s="43"/>
      <c r="M7" s="85" t="s">
        <v>259</v>
      </c>
      <c r="N7" s="77" t="s">
        <v>259</v>
      </c>
      <c r="O7" s="77" t="s">
        <v>259</v>
      </c>
      <c r="P7" s="77" t="s">
        <v>259</v>
      </c>
      <c r="Q7" s="77"/>
      <c r="R7" s="77"/>
    </row>
    <row r="8" spans="1:18" x14ac:dyDescent="0.2">
      <c r="A8" s="6"/>
      <c r="B8" s="3"/>
      <c r="C8" s="4"/>
      <c r="D8" s="4"/>
      <c r="E8" s="4"/>
      <c r="F8" s="3"/>
      <c r="G8" s="3"/>
      <c r="H8" s="3"/>
      <c r="I8" s="82"/>
      <c r="J8" s="91">
        <f>SUM(J2:J7)</f>
        <v>4260</v>
      </c>
      <c r="K8" s="88"/>
      <c r="L8" s="74"/>
      <c r="M8" s="78"/>
      <c r="N8" s="79"/>
      <c r="O8" s="79"/>
      <c r="P8" s="79"/>
      <c r="Q8" s="79"/>
      <c r="R8" s="79"/>
    </row>
    <row r="9" spans="1:18" x14ac:dyDescent="0.2">
      <c r="A9" s="303" t="s">
        <v>152</v>
      </c>
      <c r="B9" s="22" t="s">
        <v>17</v>
      </c>
      <c r="C9" s="23">
        <v>45792</v>
      </c>
      <c r="D9" s="23">
        <v>45744</v>
      </c>
      <c r="E9" s="23">
        <v>45737</v>
      </c>
      <c r="F9" s="24" t="s">
        <v>19</v>
      </c>
      <c r="G9" s="153">
        <v>2000</v>
      </c>
      <c r="H9" s="24">
        <v>1</v>
      </c>
      <c r="I9" s="93" t="s">
        <v>234</v>
      </c>
      <c r="J9" s="94">
        <f t="shared" ref="J9:J11" si="1">$K9/(1-$L$2)</f>
        <v>865.19999999999993</v>
      </c>
      <c r="K9" s="152">
        <v>692.16</v>
      </c>
      <c r="L9" s="43"/>
      <c r="M9" s="85" t="s">
        <v>259</v>
      </c>
      <c r="N9" s="85" t="s">
        <v>259</v>
      </c>
      <c r="O9" s="85" t="s">
        <v>259</v>
      </c>
      <c r="P9" s="85" t="s">
        <v>259</v>
      </c>
      <c r="Q9" s="77"/>
      <c r="R9" s="77"/>
    </row>
    <row r="10" spans="1:18" x14ac:dyDescent="0.2">
      <c r="A10" s="303"/>
      <c r="B10" s="22" t="s">
        <v>20</v>
      </c>
      <c r="C10" s="23">
        <v>45931</v>
      </c>
      <c r="D10" s="23">
        <v>45891</v>
      </c>
      <c r="E10" s="23">
        <v>45884</v>
      </c>
      <c r="F10" s="24" t="s">
        <v>19</v>
      </c>
      <c r="G10" s="153">
        <v>2000</v>
      </c>
      <c r="H10" s="24">
        <v>1</v>
      </c>
      <c r="I10" s="93" t="s">
        <v>235</v>
      </c>
      <c r="J10" s="94">
        <f t="shared" si="1"/>
        <v>865.19999999999993</v>
      </c>
      <c r="K10" s="152">
        <v>692.16</v>
      </c>
      <c r="L10" s="43"/>
      <c r="M10" s="85" t="s">
        <v>259</v>
      </c>
      <c r="N10" s="85" t="s">
        <v>259</v>
      </c>
      <c r="O10" s="85" t="s">
        <v>259</v>
      </c>
      <c r="P10" s="85" t="s">
        <v>259</v>
      </c>
      <c r="Q10" s="77"/>
      <c r="R10" s="77"/>
    </row>
    <row r="11" spans="1:18" x14ac:dyDescent="0.2">
      <c r="A11" s="303"/>
      <c r="B11" s="22" t="s">
        <v>22</v>
      </c>
      <c r="C11" s="23">
        <v>46054</v>
      </c>
      <c r="D11" s="23">
        <v>46010</v>
      </c>
      <c r="E11" s="23">
        <v>46003</v>
      </c>
      <c r="F11" s="24" t="s">
        <v>19</v>
      </c>
      <c r="G11" s="153">
        <v>2000</v>
      </c>
      <c r="H11" s="24">
        <v>1</v>
      </c>
      <c r="I11" s="93" t="s">
        <v>236</v>
      </c>
      <c r="J11" s="94">
        <f t="shared" si="1"/>
        <v>865.19999999999993</v>
      </c>
      <c r="K11" s="152">
        <v>692.16</v>
      </c>
      <c r="L11" s="43"/>
      <c r="M11" s="85" t="s">
        <v>259</v>
      </c>
      <c r="N11" s="77" t="s">
        <v>259</v>
      </c>
      <c r="O11" s="77" t="s">
        <v>259</v>
      </c>
      <c r="P11" s="77" t="s">
        <v>259</v>
      </c>
      <c r="Q11" s="77"/>
      <c r="R11" s="77"/>
    </row>
    <row r="12" spans="1:18" x14ac:dyDescent="0.2">
      <c r="A12" s="6"/>
      <c r="B12" s="3"/>
      <c r="C12" s="4"/>
      <c r="D12" s="4"/>
      <c r="E12" s="4"/>
      <c r="F12" s="3"/>
      <c r="G12" s="3"/>
      <c r="H12" s="3"/>
      <c r="I12" s="82"/>
      <c r="J12" s="92">
        <f>SUM(J9:J11)</f>
        <v>2595.6</v>
      </c>
      <c r="K12" s="88"/>
      <c r="L12" s="75"/>
      <c r="M12" s="79"/>
      <c r="N12" s="79"/>
      <c r="O12" s="79"/>
      <c r="P12" s="79"/>
      <c r="Q12" s="79"/>
      <c r="R12" s="79"/>
    </row>
    <row r="13" spans="1:18" x14ac:dyDescent="0.2">
      <c r="A13" s="303" t="s">
        <v>78</v>
      </c>
      <c r="B13" s="22" t="s">
        <v>23</v>
      </c>
      <c r="C13" s="23">
        <v>45765</v>
      </c>
      <c r="D13" s="23">
        <v>45754</v>
      </c>
      <c r="E13" s="23">
        <v>45747</v>
      </c>
      <c r="F13" s="24" t="s">
        <v>172</v>
      </c>
      <c r="G13" s="153">
        <v>2500</v>
      </c>
      <c r="H13" s="24">
        <v>1</v>
      </c>
      <c r="I13" s="93" t="s">
        <v>237</v>
      </c>
      <c r="J13" s="94">
        <f t="shared" ref="J13:J15" si="2">$K13/(1-$L$2)</f>
        <v>776.25</v>
      </c>
      <c r="K13" s="152">
        <v>621</v>
      </c>
      <c r="L13" s="43"/>
      <c r="M13" s="85" t="s">
        <v>259</v>
      </c>
      <c r="N13" s="85" t="s">
        <v>259</v>
      </c>
      <c r="O13" s="85" t="s">
        <v>259</v>
      </c>
      <c r="P13" s="85" t="s">
        <v>259</v>
      </c>
      <c r="Q13" s="77"/>
      <c r="R13" s="77"/>
    </row>
    <row r="14" spans="1:18" x14ac:dyDescent="0.2">
      <c r="A14" s="303"/>
      <c r="B14" s="22" t="s">
        <v>171</v>
      </c>
      <c r="C14" s="23">
        <v>45856</v>
      </c>
      <c r="D14" s="23">
        <v>45845</v>
      </c>
      <c r="E14" s="23">
        <v>45838</v>
      </c>
      <c r="F14" s="24" t="s">
        <v>172</v>
      </c>
      <c r="G14" s="153">
        <v>2500</v>
      </c>
      <c r="H14" s="24">
        <v>1</v>
      </c>
      <c r="I14" s="93" t="s">
        <v>238</v>
      </c>
      <c r="J14" s="94">
        <f t="shared" si="2"/>
        <v>776.25</v>
      </c>
      <c r="K14" s="152">
        <v>621</v>
      </c>
      <c r="L14" s="43"/>
      <c r="M14" s="85" t="s">
        <v>259</v>
      </c>
      <c r="N14" s="85" t="s">
        <v>259</v>
      </c>
      <c r="O14" s="85" t="s">
        <v>259</v>
      </c>
      <c r="P14" s="85" t="s">
        <v>259</v>
      </c>
      <c r="Q14" s="77"/>
      <c r="R14" s="77"/>
    </row>
    <row r="15" spans="1:18" x14ac:dyDescent="0.2">
      <c r="A15" s="303"/>
      <c r="B15" s="22" t="s">
        <v>25</v>
      </c>
      <c r="C15" s="23">
        <v>45947</v>
      </c>
      <c r="D15" s="23">
        <v>45936</v>
      </c>
      <c r="E15" s="23">
        <v>45929</v>
      </c>
      <c r="F15" s="24" t="s">
        <v>172</v>
      </c>
      <c r="G15" s="153">
        <v>2500</v>
      </c>
      <c r="H15" s="24">
        <v>1</v>
      </c>
      <c r="I15" s="93" t="s">
        <v>239</v>
      </c>
      <c r="J15" s="94">
        <f t="shared" si="2"/>
        <v>776.25</v>
      </c>
      <c r="K15" s="152">
        <v>621</v>
      </c>
      <c r="L15" s="43"/>
      <c r="M15" s="85" t="s">
        <v>259</v>
      </c>
      <c r="N15" s="85" t="s">
        <v>259</v>
      </c>
      <c r="O15" s="77" t="s">
        <v>259</v>
      </c>
      <c r="P15" s="77" t="s">
        <v>259</v>
      </c>
      <c r="Q15" s="77"/>
      <c r="R15" s="77"/>
    </row>
    <row r="16" spans="1:18" x14ac:dyDescent="0.2">
      <c r="A16" s="6"/>
      <c r="B16" s="3"/>
      <c r="C16" s="4"/>
      <c r="D16" s="4"/>
      <c r="E16" s="4"/>
      <c r="F16" s="3"/>
      <c r="G16" s="3"/>
      <c r="H16" s="3"/>
      <c r="I16" s="82"/>
      <c r="J16" s="92">
        <f>SUM(J13:J15)</f>
        <v>2328.75</v>
      </c>
      <c r="K16" s="88"/>
      <c r="L16" s="75"/>
      <c r="M16" s="79"/>
      <c r="N16" s="79"/>
      <c r="O16" s="79"/>
      <c r="P16" s="79"/>
      <c r="Q16" s="79"/>
      <c r="R16" s="79"/>
    </row>
    <row r="17" spans="1:18" ht="18" customHeight="1" x14ac:dyDescent="0.2">
      <c r="A17" s="303" t="s">
        <v>151</v>
      </c>
      <c r="B17" s="22" t="s">
        <v>280</v>
      </c>
      <c r="C17" s="23">
        <v>45874</v>
      </c>
      <c r="D17" s="23">
        <v>45839</v>
      </c>
      <c r="E17" s="23">
        <v>45832</v>
      </c>
      <c r="F17" s="24" t="s">
        <v>260</v>
      </c>
      <c r="G17" s="25">
        <v>400000</v>
      </c>
      <c r="H17" s="24">
        <v>1</v>
      </c>
      <c r="I17" s="93" t="s">
        <v>278</v>
      </c>
      <c r="J17" s="94">
        <f t="shared" ref="J17:J18" si="3">$K17/(1-$L$2)</f>
        <v>1875</v>
      </c>
      <c r="K17" s="152">
        <v>1500</v>
      </c>
      <c r="L17" s="43"/>
      <c r="M17" s="77" t="s">
        <v>259</v>
      </c>
      <c r="N17" s="77" t="s">
        <v>259</v>
      </c>
      <c r="O17" s="77" t="s">
        <v>259</v>
      </c>
      <c r="P17" s="77" t="s">
        <v>259</v>
      </c>
      <c r="Q17" s="77"/>
      <c r="R17" s="77"/>
    </row>
    <row r="18" spans="1:18" ht="16" customHeight="1" x14ac:dyDescent="0.2">
      <c r="A18" s="303"/>
      <c r="B18" s="141" t="s">
        <v>281</v>
      </c>
      <c r="C18" s="23">
        <v>46027</v>
      </c>
      <c r="D18" s="23">
        <v>46006</v>
      </c>
      <c r="E18" s="23">
        <v>45999</v>
      </c>
      <c r="F18" s="24" t="s">
        <v>260</v>
      </c>
      <c r="G18" s="25">
        <v>400000</v>
      </c>
      <c r="H18" s="24">
        <v>1</v>
      </c>
      <c r="I18" s="93" t="s">
        <v>279</v>
      </c>
      <c r="J18" s="94">
        <f t="shared" si="3"/>
        <v>1875</v>
      </c>
      <c r="K18" s="152">
        <v>1500</v>
      </c>
      <c r="L18" s="43"/>
      <c r="M18" s="77" t="s">
        <v>259</v>
      </c>
      <c r="N18" s="77" t="s">
        <v>259</v>
      </c>
      <c r="O18" s="77" t="s">
        <v>259</v>
      </c>
      <c r="P18" s="77" t="s">
        <v>259</v>
      </c>
      <c r="Q18" s="77"/>
      <c r="R18" s="77"/>
    </row>
    <row r="19" spans="1:18" x14ac:dyDescent="0.2">
      <c r="A19" s="6"/>
      <c r="B19" s="14"/>
      <c r="C19" s="7"/>
      <c r="D19" s="7"/>
      <c r="E19" s="7"/>
      <c r="F19" s="6"/>
      <c r="G19" s="6"/>
      <c r="H19" s="6"/>
      <c r="I19" s="82"/>
      <c r="J19" s="65">
        <f>SUM(J17:J18)</f>
        <v>3750</v>
      </c>
      <c r="K19" s="88"/>
      <c r="L19" s="75"/>
      <c r="M19" s="79"/>
      <c r="N19" s="79"/>
      <c r="O19" s="79"/>
      <c r="P19" s="79"/>
      <c r="Q19" s="79"/>
      <c r="R19" s="79"/>
    </row>
    <row r="20" spans="1:18" x14ac:dyDescent="0.2">
      <c r="A20" s="303" t="s">
        <v>150</v>
      </c>
      <c r="B20" s="22" t="s">
        <v>224</v>
      </c>
      <c r="C20" s="23">
        <v>45703</v>
      </c>
      <c r="D20" s="23">
        <v>45687</v>
      </c>
      <c r="E20" s="23">
        <v>45680</v>
      </c>
      <c r="F20" s="24" t="s">
        <v>262</v>
      </c>
      <c r="G20" s="153">
        <v>3600</v>
      </c>
      <c r="H20" s="24">
        <v>1</v>
      </c>
      <c r="I20" s="93" t="s">
        <v>240</v>
      </c>
      <c r="J20" s="94">
        <f>$K20/(1-$L$2)</f>
        <v>437.5</v>
      </c>
      <c r="K20" s="152">
        <v>350</v>
      </c>
      <c r="L20" s="43"/>
      <c r="M20" s="77" t="s">
        <v>259</v>
      </c>
      <c r="N20" s="77" t="s">
        <v>259</v>
      </c>
      <c r="O20" s="77" t="s">
        <v>259</v>
      </c>
      <c r="P20" s="77" t="s">
        <v>259</v>
      </c>
      <c r="Q20" s="77"/>
      <c r="R20" s="77"/>
    </row>
    <row r="21" spans="1:18" x14ac:dyDescent="0.2">
      <c r="A21" s="303"/>
      <c r="B21" s="22" t="s">
        <v>223</v>
      </c>
      <c r="C21" s="23">
        <v>45823</v>
      </c>
      <c r="D21" s="23">
        <v>45807</v>
      </c>
      <c r="E21" s="23">
        <v>45800</v>
      </c>
      <c r="F21" s="24" t="s">
        <v>262</v>
      </c>
      <c r="G21" s="153">
        <v>3600</v>
      </c>
      <c r="H21" s="24">
        <v>1</v>
      </c>
      <c r="I21" s="93" t="s">
        <v>277</v>
      </c>
      <c r="J21" s="94">
        <f t="shared" ref="J21:J22" si="4">$K21/(1-$L$2)</f>
        <v>437.5</v>
      </c>
      <c r="K21" s="152">
        <v>350</v>
      </c>
      <c r="L21" s="43"/>
      <c r="M21" s="77" t="s">
        <v>259</v>
      </c>
      <c r="N21" s="77" t="s">
        <v>259</v>
      </c>
      <c r="O21" s="77" t="s">
        <v>259</v>
      </c>
      <c r="P21" s="77" t="s">
        <v>259</v>
      </c>
      <c r="Q21" s="77"/>
      <c r="R21" s="77"/>
    </row>
    <row r="22" spans="1:18" x14ac:dyDescent="0.2">
      <c r="A22" s="303"/>
      <c r="B22" s="22" t="s">
        <v>222</v>
      </c>
      <c r="C22" s="23">
        <v>45946</v>
      </c>
      <c r="D22" s="23">
        <v>45929</v>
      </c>
      <c r="E22" s="23">
        <v>45922</v>
      </c>
      <c r="F22" s="24" t="s">
        <v>262</v>
      </c>
      <c r="G22" s="153">
        <v>3600</v>
      </c>
      <c r="H22" s="24">
        <v>1</v>
      </c>
      <c r="I22" s="93" t="s">
        <v>283</v>
      </c>
      <c r="J22" s="94">
        <f t="shared" si="4"/>
        <v>437.5</v>
      </c>
      <c r="K22" s="152">
        <v>350</v>
      </c>
      <c r="L22" s="43"/>
      <c r="M22" s="77" t="s">
        <v>259</v>
      </c>
      <c r="N22" s="77" t="s">
        <v>259</v>
      </c>
      <c r="O22" s="77" t="s">
        <v>259</v>
      </c>
      <c r="P22" s="77" t="s">
        <v>259</v>
      </c>
      <c r="Q22" s="77"/>
      <c r="R22" s="77"/>
    </row>
    <row r="23" spans="1:18" x14ac:dyDescent="0.2">
      <c r="A23" s="6"/>
      <c r="B23" s="14"/>
      <c r="C23" s="7"/>
      <c r="D23" s="7"/>
      <c r="E23" s="7"/>
      <c r="F23" s="6"/>
      <c r="G23" s="6"/>
      <c r="H23" s="6"/>
      <c r="I23" s="82"/>
      <c r="J23" s="65">
        <f>SUM(J20:J22)</f>
        <v>1312.5</v>
      </c>
      <c r="K23" s="88"/>
      <c r="L23" s="75"/>
      <c r="M23" s="79"/>
      <c r="N23" s="79"/>
      <c r="O23" s="79"/>
      <c r="P23" s="79"/>
      <c r="Q23" s="79"/>
      <c r="R23" s="79"/>
    </row>
    <row r="24" spans="1:18" ht="19" customHeight="1" x14ac:dyDescent="0.2">
      <c r="A24" s="301" t="s">
        <v>288</v>
      </c>
      <c r="B24" s="166" t="s">
        <v>142</v>
      </c>
      <c r="C24" s="167">
        <v>45686</v>
      </c>
      <c r="D24" s="167">
        <v>45671</v>
      </c>
      <c r="E24" s="167">
        <v>45664</v>
      </c>
      <c r="F24" s="166" t="s">
        <v>44</v>
      </c>
      <c r="G24" s="168">
        <v>1811</v>
      </c>
      <c r="H24" s="166">
        <v>1</v>
      </c>
      <c r="I24" s="169" t="s">
        <v>248</v>
      </c>
      <c r="J24" s="182">
        <f t="shared" ref="J24:J27" si="5">$K24/(1-$L$2)</f>
        <v>652.5</v>
      </c>
      <c r="K24" s="183">
        <v>522</v>
      </c>
      <c r="L24" s="43"/>
      <c r="M24" s="85" t="s">
        <v>259</v>
      </c>
      <c r="N24" s="85" t="s">
        <v>259</v>
      </c>
      <c r="O24" s="85" t="s">
        <v>259</v>
      </c>
      <c r="P24" s="85" t="s">
        <v>259</v>
      </c>
      <c r="Q24" s="77"/>
      <c r="R24" s="77"/>
    </row>
    <row r="25" spans="1:18" ht="19" customHeight="1" x14ac:dyDescent="0.2">
      <c r="A25" s="302"/>
      <c r="B25" s="30" t="s">
        <v>273</v>
      </c>
      <c r="C25" s="23">
        <v>45777</v>
      </c>
      <c r="D25" s="96">
        <v>45751</v>
      </c>
      <c r="E25" s="23">
        <v>45744</v>
      </c>
      <c r="F25" s="24" t="s">
        <v>44</v>
      </c>
      <c r="G25" s="153">
        <v>1811</v>
      </c>
      <c r="H25" s="24">
        <v>1</v>
      </c>
      <c r="I25" s="184" t="s">
        <v>274</v>
      </c>
      <c r="J25" s="185" t="s">
        <v>275</v>
      </c>
      <c r="K25" s="185" t="s">
        <v>275</v>
      </c>
      <c r="L25" s="181"/>
      <c r="M25" s="85" t="s">
        <v>259</v>
      </c>
      <c r="N25" s="85" t="s">
        <v>259</v>
      </c>
      <c r="O25" s="85" t="s">
        <v>259</v>
      </c>
      <c r="P25" s="85" t="s">
        <v>259</v>
      </c>
      <c r="Q25" s="77"/>
      <c r="R25" s="77"/>
    </row>
    <row r="26" spans="1:18" ht="19" customHeight="1" x14ac:dyDescent="0.2">
      <c r="A26" s="302"/>
      <c r="B26" s="22" t="s">
        <v>141</v>
      </c>
      <c r="C26" s="96">
        <v>45870</v>
      </c>
      <c r="D26" s="96"/>
      <c r="E26" s="23">
        <v>45839</v>
      </c>
      <c r="F26" s="24" t="s">
        <v>44</v>
      </c>
      <c r="G26" s="153">
        <v>1811</v>
      </c>
      <c r="H26" s="24">
        <v>1</v>
      </c>
      <c r="I26" s="93" t="s">
        <v>249</v>
      </c>
      <c r="J26" s="180">
        <f>$K26/(1-$L$2)</f>
        <v>637.5</v>
      </c>
      <c r="K26" s="186">
        <v>510</v>
      </c>
      <c r="L26" s="43"/>
      <c r="M26" s="85" t="s">
        <v>259</v>
      </c>
      <c r="N26" s="85" t="s">
        <v>259</v>
      </c>
      <c r="O26" s="85" t="s">
        <v>259</v>
      </c>
      <c r="P26" s="85" t="s">
        <v>259</v>
      </c>
      <c r="Q26" s="77"/>
      <c r="R26" s="77"/>
    </row>
    <row r="27" spans="1:18" ht="19" customHeight="1" x14ac:dyDescent="0.2">
      <c r="A27" s="313"/>
      <c r="B27" s="136" t="s">
        <v>226</v>
      </c>
      <c r="C27" s="96">
        <v>45992</v>
      </c>
      <c r="D27" s="96"/>
      <c r="E27" s="23">
        <v>45962</v>
      </c>
      <c r="F27" s="24" t="s">
        <v>44</v>
      </c>
      <c r="G27" s="153">
        <v>1811</v>
      </c>
      <c r="H27" s="24">
        <v>1</v>
      </c>
      <c r="I27" s="93" t="s">
        <v>250</v>
      </c>
      <c r="J27" s="94">
        <f t="shared" si="5"/>
        <v>652.5</v>
      </c>
      <c r="K27" s="152">
        <v>522</v>
      </c>
      <c r="L27" s="43"/>
      <c r="M27" s="85" t="s">
        <v>259</v>
      </c>
      <c r="N27" s="77" t="s">
        <v>259</v>
      </c>
      <c r="O27" s="77" t="s">
        <v>259</v>
      </c>
      <c r="P27" s="77" t="s">
        <v>259</v>
      </c>
      <c r="Q27" s="77"/>
      <c r="R27" s="77"/>
    </row>
    <row r="28" spans="1:18" x14ac:dyDescent="0.2">
      <c r="A28" s="6"/>
      <c r="B28" s="116"/>
      <c r="C28" s="117"/>
      <c r="D28" s="117"/>
      <c r="E28" s="7"/>
      <c r="F28" s="6"/>
      <c r="G28" s="6"/>
      <c r="H28" s="6"/>
      <c r="I28" s="82"/>
      <c r="J28" s="65">
        <f>SUM(J24:J27)</f>
        <v>1942.5</v>
      </c>
      <c r="K28" s="88"/>
      <c r="L28" s="75"/>
      <c r="M28" s="79"/>
      <c r="N28" s="79"/>
      <c r="O28" s="79"/>
      <c r="P28" s="79"/>
      <c r="Q28" s="79"/>
      <c r="R28" s="79"/>
    </row>
    <row r="29" spans="1:18" ht="17" x14ac:dyDescent="0.2">
      <c r="A29" s="311" t="s">
        <v>227</v>
      </c>
      <c r="B29" s="177" t="s">
        <v>218</v>
      </c>
      <c r="C29" s="178">
        <v>45751</v>
      </c>
      <c r="D29" s="178">
        <v>45744</v>
      </c>
      <c r="E29" s="179">
        <v>45737</v>
      </c>
      <c r="F29" s="24" t="s">
        <v>73</v>
      </c>
      <c r="G29" s="153">
        <v>2450</v>
      </c>
      <c r="H29" s="24">
        <v>1</v>
      </c>
      <c r="I29" s="93" t="s">
        <v>241</v>
      </c>
      <c r="J29" s="180">
        <f t="shared" ref="J29:J31" si="6">$K29/(1-$L$2)</f>
        <v>556.25</v>
      </c>
      <c r="K29" s="152">
        <v>445</v>
      </c>
      <c r="L29" s="43"/>
      <c r="M29" s="85" t="s">
        <v>259</v>
      </c>
      <c r="N29" s="85" t="s">
        <v>259</v>
      </c>
      <c r="O29" s="85" t="s">
        <v>259</v>
      </c>
      <c r="P29" s="85" t="s">
        <v>259</v>
      </c>
      <c r="Q29" s="77"/>
      <c r="R29" s="77"/>
    </row>
    <row r="30" spans="1:18" ht="17" x14ac:dyDescent="0.2">
      <c r="A30" s="311"/>
      <c r="B30" s="177" t="s">
        <v>219</v>
      </c>
      <c r="C30" s="178">
        <v>45793</v>
      </c>
      <c r="D30" s="178">
        <v>45786</v>
      </c>
      <c r="E30" s="179">
        <v>45779</v>
      </c>
      <c r="F30" s="24" t="s">
        <v>73</v>
      </c>
      <c r="G30" s="153">
        <v>2450</v>
      </c>
      <c r="H30" s="24">
        <v>1</v>
      </c>
      <c r="I30" s="93" t="s">
        <v>242</v>
      </c>
      <c r="J30" s="180">
        <f t="shared" si="6"/>
        <v>556.25</v>
      </c>
      <c r="K30" s="152">
        <v>445</v>
      </c>
      <c r="L30" s="43"/>
      <c r="M30" s="85" t="s">
        <v>259</v>
      </c>
      <c r="N30" s="85" t="s">
        <v>259</v>
      </c>
      <c r="O30" s="85" t="s">
        <v>259</v>
      </c>
      <c r="P30" s="85" t="s">
        <v>259</v>
      </c>
      <c r="Q30" s="77"/>
      <c r="R30" s="77"/>
    </row>
    <row r="31" spans="1:18" ht="17" x14ac:dyDescent="0.2">
      <c r="A31" s="311"/>
      <c r="B31" s="177" t="s">
        <v>220</v>
      </c>
      <c r="C31" s="178">
        <v>45919</v>
      </c>
      <c r="D31" s="178">
        <v>45912</v>
      </c>
      <c r="E31" s="179">
        <v>45905</v>
      </c>
      <c r="F31" s="24" t="s">
        <v>73</v>
      </c>
      <c r="G31" s="153">
        <v>2450</v>
      </c>
      <c r="H31" s="24">
        <v>1</v>
      </c>
      <c r="I31" s="93" t="s">
        <v>243</v>
      </c>
      <c r="J31" s="180">
        <f t="shared" si="6"/>
        <v>556.25</v>
      </c>
      <c r="K31" s="152">
        <v>445</v>
      </c>
      <c r="L31" s="43"/>
      <c r="M31" s="85" t="s">
        <v>259</v>
      </c>
      <c r="N31" s="85" t="s">
        <v>259</v>
      </c>
      <c r="O31" s="85" t="s">
        <v>259</v>
      </c>
      <c r="P31" s="77" t="s">
        <v>259</v>
      </c>
      <c r="Q31" s="77"/>
      <c r="R31" s="77"/>
    </row>
    <row r="32" spans="1:18" ht="17" x14ac:dyDescent="0.2">
      <c r="A32" s="311"/>
      <c r="B32" s="177" t="s">
        <v>221</v>
      </c>
      <c r="C32" s="178">
        <v>46010</v>
      </c>
      <c r="D32" s="178">
        <v>46003</v>
      </c>
      <c r="E32" s="179">
        <v>45996</v>
      </c>
      <c r="F32" s="24" t="s">
        <v>73</v>
      </c>
      <c r="G32" s="153">
        <v>2450</v>
      </c>
      <c r="H32" s="24">
        <v>1</v>
      </c>
      <c r="I32" s="93" t="s">
        <v>244</v>
      </c>
      <c r="J32" s="94">
        <f t="shared" ref="J32:J39" si="7">$K32/(1-$L$2)</f>
        <v>556.25</v>
      </c>
      <c r="K32" s="152">
        <v>445</v>
      </c>
      <c r="L32" s="43"/>
      <c r="M32" s="85" t="s">
        <v>259</v>
      </c>
      <c r="N32" s="77" t="s">
        <v>259</v>
      </c>
      <c r="O32" s="77" t="s">
        <v>259</v>
      </c>
      <c r="P32" s="77" t="s">
        <v>259</v>
      </c>
      <c r="Q32" s="77"/>
      <c r="R32" s="77"/>
    </row>
    <row r="33" spans="1:18" x14ac:dyDescent="0.2">
      <c r="A33" s="56"/>
      <c r="B33" s="143"/>
      <c r="C33" s="144"/>
      <c r="D33" s="144"/>
      <c r="E33" s="117"/>
      <c r="F33" s="56"/>
      <c r="G33" s="56"/>
      <c r="H33" s="56"/>
      <c r="I33" s="118"/>
      <c r="J33" s="119">
        <f>SUM(J29:J32)</f>
        <v>2225</v>
      </c>
      <c r="K33" s="120"/>
      <c r="L33" s="121"/>
      <c r="M33" s="122"/>
      <c r="N33" s="122"/>
      <c r="O33" s="122"/>
      <c r="P33" s="122"/>
      <c r="Q33" s="122"/>
      <c r="R33" s="122"/>
    </row>
    <row r="34" spans="1:18" x14ac:dyDescent="0.2">
      <c r="A34" s="303" t="s">
        <v>228</v>
      </c>
      <c r="B34" s="24" t="s">
        <v>198</v>
      </c>
      <c r="C34" s="23">
        <v>45866</v>
      </c>
      <c r="D34" s="23">
        <v>45834</v>
      </c>
      <c r="E34" s="23">
        <v>45827</v>
      </c>
      <c r="F34" s="134" t="s">
        <v>263</v>
      </c>
      <c r="G34" s="25">
        <v>5300</v>
      </c>
      <c r="H34" s="24">
        <v>1</v>
      </c>
      <c r="I34" s="185" t="s">
        <v>245</v>
      </c>
      <c r="J34" s="94">
        <f t="shared" si="7"/>
        <v>562.5</v>
      </c>
      <c r="K34" s="35">
        <v>450</v>
      </c>
      <c r="L34" s="1"/>
      <c r="M34" s="85" t="s">
        <v>259</v>
      </c>
      <c r="N34" s="85" t="s">
        <v>259</v>
      </c>
      <c r="O34" s="85" t="s">
        <v>259</v>
      </c>
      <c r="P34" s="85" t="s">
        <v>259</v>
      </c>
      <c r="Q34" s="124"/>
      <c r="R34" s="124"/>
    </row>
    <row r="35" spans="1:18" x14ac:dyDescent="0.2">
      <c r="A35" s="312"/>
      <c r="B35" s="24" t="s">
        <v>55</v>
      </c>
      <c r="C35" s="23">
        <v>45992</v>
      </c>
      <c r="D35" s="23">
        <v>45960</v>
      </c>
      <c r="E35" s="23">
        <v>45953</v>
      </c>
      <c r="F35" s="134" t="s">
        <v>263</v>
      </c>
      <c r="G35" s="25">
        <v>5300</v>
      </c>
      <c r="H35" s="24">
        <v>1</v>
      </c>
      <c r="I35" s="191" t="s">
        <v>246</v>
      </c>
      <c r="J35" s="94">
        <f t="shared" si="7"/>
        <v>562.5</v>
      </c>
      <c r="K35" s="192">
        <v>450</v>
      </c>
      <c r="L35" s="1"/>
      <c r="M35" s="85" t="s">
        <v>259</v>
      </c>
      <c r="N35" s="85" t="s">
        <v>259</v>
      </c>
      <c r="O35" s="85" t="s">
        <v>259</v>
      </c>
      <c r="P35" s="193" t="s">
        <v>259</v>
      </c>
      <c r="Q35" s="1"/>
      <c r="R35" s="1"/>
    </row>
    <row r="36" spans="1:18" x14ac:dyDescent="0.2">
      <c r="A36" s="3"/>
      <c r="B36" s="3"/>
      <c r="C36" s="3"/>
      <c r="D36" s="3"/>
      <c r="E36" s="3"/>
      <c r="F36" s="3"/>
      <c r="G36" s="3"/>
      <c r="H36" s="3"/>
      <c r="I36" s="125"/>
      <c r="J36" s="119">
        <f>SUM(J34:J35)</f>
        <v>1125</v>
      </c>
      <c r="K36" s="125"/>
      <c r="L36" s="3"/>
      <c r="M36" s="3"/>
      <c r="N36" s="3"/>
      <c r="O36" s="3"/>
      <c r="P36" s="3"/>
      <c r="Q36" s="3"/>
      <c r="R36" s="3"/>
    </row>
    <row r="37" spans="1:18" s="146" customFormat="1" ht="32" x14ac:dyDescent="0.2">
      <c r="A37" s="150" t="s">
        <v>229</v>
      </c>
      <c r="B37" s="188" t="s">
        <v>217</v>
      </c>
      <c r="C37" s="133">
        <v>45903</v>
      </c>
      <c r="D37" s="133">
        <v>45877</v>
      </c>
      <c r="E37" s="133">
        <v>45870</v>
      </c>
      <c r="F37" s="134" t="s">
        <v>263</v>
      </c>
      <c r="G37" s="189">
        <v>13579</v>
      </c>
      <c r="H37" s="134">
        <v>1</v>
      </c>
      <c r="I37" s="187" t="s">
        <v>247</v>
      </c>
      <c r="J37" s="132">
        <f t="shared" si="7"/>
        <v>956.25</v>
      </c>
      <c r="K37" s="190">
        <v>765</v>
      </c>
      <c r="L37" s="145"/>
      <c r="M37" s="85" t="s">
        <v>259</v>
      </c>
      <c r="N37" s="85" t="s">
        <v>259</v>
      </c>
      <c r="O37" s="85" t="s">
        <v>259</v>
      </c>
      <c r="P37" s="85" t="s">
        <v>259</v>
      </c>
      <c r="Q37" s="145"/>
      <c r="R37" s="145"/>
    </row>
    <row r="38" spans="1:18" x14ac:dyDescent="0.2">
      <c r="A38" s="147"/>
      <c r="B38" s="148"/>
      <c r="C38" s="117"/>
      <c r="D38" s="117"/>
      <c r="E38" s="117"/>
      <c r="F38" s="3"/>
      <c r="G38" s="3"/>
      <c r="H38" s="3"/>
      <c r="I38" s="3"/>
      <c r="J38" s="149">
        <f>SUM(J37:J37)</f>
        <v>956.25</v>
      </c>
      <c r="K38" s="3"/>
      <c r="L38" s="3"/>
      <c r="M38" s="3"/>
      <c r="N38" s="3"/>
      <c r="O38" s="3"/>
      <c r="P38" s="3"/>
      <c r="Q38" s="3"/>
      <c r="R38" s="3"/>
    </row>
    <row r="39" spans="1:18" ht="32" x14ac:dyDescent="0.2">
      <c r="A39" s="151" t="s">
        <v>294</v>
      </c>
      <c r="B39" s="198" t="s">
        <v>258</v>
      </c>
      <c r="C39" s="133">
        <v>46020</v>
      </c>
      <c r="D39" s="133">
        <v>46003</v>
      </c>
      <c r="E39" s="133">
        <v>45996</v>
      </c>
      <c r="F39" s="134" t="s">
        <v>261</v>
      </c>
      <c r="G39" s="189">
        <v>6500</v>
      </c>
      <c r="H39" s="134">
        <v>1</v>
      </c>
      <c r="I39" s="187" t="s">
        <v>252</v>
      </c>
      <c r="J39" s="132">
        <f t="shared" si="7"/>
        <v>435</v>
      </c>
      <c r="K39" s="190">
        <v>348</v>
      </c>
      <c r="L39" s="1"/>
      <c r="M39" s="85" t="s">
        <v>259</v>
      </c>
      <c r="N39" s="124" t="s">
        <v>259</v>
      </c>
      <c r="O39" s="124" t="s">
        <v>259</v>
      </c>
      <c r="P39" s="124" t="s">
        <v>259</v>
      </c>
      <c r="Q39" s="1"/>
      <c r="R39" s="1"/>
    </row>
    <row r="40" spans="1:18" x14ac:dyDescent="0.2">
      <c r="A40" s="3" t="s">
        <v>257</v>
      </c>
      <c r="B40" s="3"/>
      <c r="C40" s="3"/>
      <c r="D40" s="3"/>
      <c r="E40" s="3"/>
      <c r="F40" s="3"/>
      <c r="G40" s="3"/>
      <c r="H40" s="3"/>
      <c r="I40" s="3"/>
      <c r="J40" s="65">
        <f>SUM(J39:J39)</f>
        <v>435</v>
      </c>
      <c r="K40" s="3"/>
      <c r="L40" s="3"/>
      <c r="M40" s="3"/>
      <c r="N40" s="3"/>
      <c r="O40" s="3"/>
      <c r="P40" s="3"/>
      <c r="Q40" s="3"/>
      <c r="R40" s="3"/>
    </row>
    <row r="42" spans="1:18" ht="19" x14ac:dyDescent="0.25">
      <c r="A42" s="114" t="s">
        <v>197</v>
      </c>
      <c r="B42" s="101"/>
      <c r="C42" s="102"/>
      <c r="D42" s="297"/>
      <c r="E42" s="298"/>
      <c r="F42" s="142"/>
      <c r="G42" s="142"/>
      <c r="H42" s="142"/>
      <c r="I42" s="142"/>
      <c r="J42" s="142"/>
    </row>
    <row r="43" spans="1:18" x14ac:dyDescent="0.2">
      <c r="A43" s="48" t="s">
        <v>60</v>
      </c>
      <c r="B43" s="106"/>
      <c r="C43" s="49"/>
      <c r="D43" s="196">
        <v>45935</v>
      </c>
      <c r="E43" s="197">
        <v>45931</v>
      </c>
      <c r="F43" s="128" t="s">
        <v>287</v>
      </c>
      <c r="G43" s="128" t="s">
        <v>286</v>
      </c>
      <c r="H43" s="128"/>
      <c r="I43" s="128"/>
      <c r="J43" s="129"/>
    </row>
    <row r="44" spans="1:18" x14ac:dyDescent="0.2">
      <c r="A44" s="48" t="s">
        <v>63</v>
      </c>
      <c r="B44" s="106"/>
      <c r="C44" s="49"/>
      <c r="D44" s="314" t="s">
        <v>225</v>
      </c>
      <c r="E44" s="316"/>
      <c r="F44" s="40" t="s">
        <v>189</v>
      </c>
      <c r="G44" s="40" t="s">
        <v>128</v>
      </c>
      <c r="H44" s="40" t="s">
        <v>272</v>
      </c>
      <c r="I44" s="40"/>
      <c r="J44" s="41"/>
    </row>
    <row r="45" spans="1:18" x14ac:dyDescent="0.2">
      <c r="A45" s="48" t="s">
        <v>284</v>
      </c>
      <c r="B45" s="106"/>
      <c r="C45" s="49"/>
      <c r="D45" s="194">
        <v>45936</v>
      </c>
      <c r="E45" s="195">
        <v>45929</v>
      </c>
      <c r="F45" s="51" t="s">
        <v>282</v>
      </c>
      <c r="G45" s="40" t="s">
        <v>128</v>
      </c>
      <c r="H45" s="30"/>
      <c r="I45" s="40" t="s">
        <v>285</v>
      </c>
      <c r="J45" s="41" t="s">
        <v>129</v>
      </c>
    </row>
    <row r="46" spans="1:18" x14ac:dyDescent="0.2">
      <c r="A46" s="68" t="s">
        <v>65</v>
      </c>
      <c r="B46" s="100"/>
      <c r="C46" s="69"/>
      <c r="D46" s="317"/>
      <c r="E46" s="319"/>
      <c r="F46" s="43"/>
      <c r="G46" s="43"/>
      <c r="H46" s="43"/>
      <c r="I46" s="43"/>
      <c r="J46" s="44"/>
    </row>
    <row r="47" spans="1:18" x14ac:dyDescent="0.2">
      <c r="A47" s="68" t="s">
        <v>67</v>
      </c>
      <c r="B47" s="100"/>
      <c r="C47" s="69"/>
      <c r="D47" s="317" t="s">
        <v>69</v>
      </c>
      <c r="E47" s="319"/>
      <c r="F47" s="43"/>
      <c r="G47" s="43"/>
      <c r="H47" s="43"/>
      <c r="I47" s="43"/>
      <c r="J47" s="44"/>
    </row>
    <row r="48" spans="1:18" x14ac:dyDescent="0.2">
      <c r="A48" s="225" t="s">
        <v>204</v>
      </c>
      <c r="B48" s="40" t="s">
        <v>207</v>
      </c>
      <c r="C48" s="51">
        <v>46025</v>
      </c>
      <c r="D48" s="51">
        <v>46013</v>
      </c>
      <c r="E48" s="51">
        <v>46008</v>
      </c>
      <c r="F48" s="40" t="s">
        <v>205</v>
      </c>
      <c r="G48" s="40"/>
      <c r="H48" s="40"/>
      <c r="I48" s="40" t="s">
        <v>305</v>
      </c>
      <c r="J48" s="132">
        <f t="shared" ref="J48" si="8">$K48/(1-$L$2)</f>
        <v>710</v>
      </c>
      <c r="K48" s="35">
        <v>568</v>
      </c>
    </row>
    <row r="50" spans="1:11" ht="19" x14ac:dyDescent="0.25">
      <c r="G50" s="226" t="s">
        <v>253</v>
      </c>
      <c r="H50" s="227"/>
      <c r="I50" s="227"/>
      <c r="J50" s="164">
        <f>SUM(J8+J12+J16+J19+J23+J28+J33+J36+J38+J40,J48)</f>
        <v>21640.6</v>
      </c>
      <c r="K50" s="165">
        <f>SUM(K2:K39,K48)</f>
        <v>17312.48</v>
      </c>
    </row>
    <row r="51" spans="1:11" ht="19" x14ac:dyDescent="0.25">
      <c r="A51" s="304" t="s">
        <v>191</v>
      </c>
      <c r="B51" s="304"/>
      <c r="C51" s="305"/>
      <c r="D51" s="70"/>
    </row>
    <row r="52" spans="1:11" ht="20" customHeight="1" x14ac:dyDescent="0.2">
      <c r="A52" s="40" t="s">
        <v>269</v>
      </c>
      <c r="B52" s="40" t="s">
        <v>270</v>
      </c>
      <c r="C52" s="51">
        <v>45741</v>
      </c>
      <c r="D52" s="40" t="s">
        <v>271</v>
      </c>
      <c r="E52" s="98"/>
      <c r="F52" s="24"/>
      <c r="G52" s="24"/>
      <c r="H52" s="24"/>
      <c r="I52" s="24"/>
    </row>
    <row r="53" spans="1:11" ht="20" customHeight="1" x14ac:dyDescent="0.2">
      <c r="A53" s="40" t="s">
        <v>296</v>
      </c>
      <c r="B53" s="40" t="s">
        <v>210</v>
      </c>
      <c r="C53" s="40"/>
      <c r="D53" s="40"/>
      <c r="E53" s="228">
        <v>45950</v>
      </c>
      <c r="F53" s="229" t="s">
        <v>297</v>
      </c>
      <c r="G53" s="128"/>
      <c r="H53" s="128"/>
      <c r="I53" s="128" t="s">
        <v>298</v>
      </c>
    </row>
    <row r="54" spans="1:11" ht="20" customHeight="1" x14ac:dyDescent="0.2">
      <c r="A54" s="40" t="s">
        <v>212</v>
      </c>
      <c r="B54" s="40" t="s">
        <v>301</v>
      </c>
      <c r="C54" s="40"/>
      <c r="D54" s="40"/>
      <c r="E54" s="51">
        <v>45986</v>
      </c>
      <c r="F54" s="230" t="s">
        <v>299</v>
      </c>
      <c r="G54" s="231"/>
      <c r="H54" s="231"/>
      <c r="I54" s="231" t="s">
        <v>304</v>
      </c>
    </row>
    <row r="55" spans="1:11" ht="20" customHeight="1" x14ac:dyDescent="0.2">
      <c r="A55" s="40" t="s">
        <v>295</v>
      </c>
      <c r="B55" s="40" t="s">
        <v>302</v>
      </c>
      <c r="C55" s="40"/>
      <c r="D55" s="40"/>
      <c r="E55" s="51">
        <v>45987</v>
      </c>
      <c r="F55" s="232" t="s">
        <v>303</v>
      </c>
      <c r="G55" s="24"/>
      <c r="H55" s="24"/>
      <c r="I55" s="24" t="s">
        <v>300</v>
      </c>
    </row>
    <row r="56" spans="1:11" ht="20" customHeight="1" x14ac:dyDescent="0.2">
      <c r="A56" s="43"/>
      <c r="B56" s="43"/>
      <c r="C56" s="43"/>
      <c r="D56" s="43"/>
      <c r="E56" s="43"/>
    </row>
    <row r="57" spans="1:11" ht="20" customHeight="1" x14ac:dyDescent="0.2">
      <c r="A57" s="43"/>
      <c r="B57" s="43"/>
      <c r="C57" s="43"/>
      <c r="D57" s="43"/>
      <c r="E57" s="43"/>
    </row>
    <row r="58" spans="1:11" ht="20" customHeight="1" x14ac:dyDescent="0.2">
      <c r="A58" s="43"/>
      <c r="B58" s="43"/>
      <c r="C58" s="43"/>
      <c r="D58" s="43"/>
      <c r="E58" s="43"/>
    </row>
    <row r="59" spans="1:11" ht="20" customHeight="1" x14ac:dyDescent="0.2">
      <c r="A59" s="43"/>
      <c r="B59" s="43"/>
      <c r="C59" s="43"/>
      <c r="D59" s="43"/>
      <c r="E59" s="43"/>
    </row>
    <row r="60" spans="1:11" ht="20" customHeight="1" x14ac:dyDescent="0.2">
      <c r="A60" s="43"/>
      <c r="B60" s="43"/>
      <c r="C60" s="43"/>
      <c r="D60" s="43"/>
      <c r="E60" s="43"/>
    </row>
    <row r="61" spans="1:11" ht="20" customHeight="1" x14ac:dyDescent="0.2">
      <c r="A61" s="43"/>
      <c r="B61" s="43"/>
      <c r="C61" s="43"/>
      <c r="D61" s="43"/>
      <c r="E61" s="43"/>
    </row>
    <row r="63" spans="1:11" x14ac:dyDescent="0.2">
      <c r="A63" s="30" t="s">
        <v>114</v>
      </c>
    </row>
    <row r="64" spans="1:11" x14ac:dyDescent="0.2">
      <c r="A64" s="66" t="s">
        <v>132</v>
      </c>
    </row>
    <row r="66" spans="1:18" ht="19" x14ac:dyDescent="0.25">
      <c r="A66" s="306" t="s">
        <v>264</v>
      </c>
      <c r="B66" s="307"/>
      <c r="C66" s="308"/>
    </row>
    <row r="67" spans="1:18" ht="19" x14ac:dyDescent="0.25">
      <c r="A67" s="161" t="s">
        <v>0</v>
      </c>
      <c r="B67" s="162" t="s">
        <v>267</v>
      </c>
      <c r="C67" s="162" t="s">
        <v>6</v>
      </c>
    </row>
    <row r="68" spans="1:18" ht="17" x14ac:dyDescent="0.2">
      <c r="A68" s="309" t="s">
        <v>265</v>
      </c>
      <c r="B68" s="156" t="s">
        <v>266</v>
      </c>
      <c r="C68" s="163">
        <v>12000</v>
      </c>
      <c r="D68" s="157"/>
      <c r="E68" s="158"/>
      <c r="G68" s="159"/>
      <c r="I68" s="160"/>
      <c r="J68" s="5"/>
      <c r="K68" s="5"/>
      <c r="M68" s="154"/>
      <c r="N68" s="155"/>
      <c r="O68" s="155"/>
      <c r="P68" s="155"/>
      <c r="Q68" s="155"/>
      <c r="R68" s="155"/>
    </row>
    <row r="69" spans="1:18" ht="18" customHeight="1" x14ac:dyDescent="0.2">
      <c r="A69" s="310"/>
      <c r="B69" t="s">
        <v>268</v>
      </c>
      <c r="C69" s="1"/>
    </row>
    <row r="70" spans="1:18" ht="51" customHeight="1" x14ac:dyDescent="0.2">
      <c r="A70" s="1"/>
      <c r="B70" s="1"/>
      <c r="C70" s="1"/>
    </row>
    <row r="71" spans="1:18" ht="52" customHeight="1" x14ac:dyDescent="0.2">
      <c r="A71" s="1"/>
      <c r="B71" s="1"/>
      <c r="C71" s="1"/>
    </row>
    <row r="72" spans="1:18" ht="53" customHeight="1" x14ac:dyDescent="0.2">
      <c r="A72" s="1"/>
      <c r="B72" s="1"/>
      <c r="C72" s="1"/>
    </row>
    <row r="73" spans="1:18" ht="54" customHeight="1" x14ac:dyDescent="0.2">
      <c r="A73" s="1"/>
      <c r="B73" s="1"/>
      <c r="C73" s="1"/>
    </row>
    <row r="74" spans="1:18" ht="15" customHeight="1" x14ac:dyDescent="0.2"/>
  </sheetData>
  <sheetProtection selectLockedCells="1"/>
  <mergeCells count="15">
    <mergeCell ref="A66:C66"/>
    <mergeCell ref="A68:A69"/>
    <mergeCell ref="A29:A32"/>
    <mergeCell ref="A2:A7"/>
    <mergeCell ref="A9:A11"/>
    <mergeCell ref="A13:A15"/>
    <mergeCell ref="A17:A18"/>
    <mergeCell ref="A20:A22"/>
    <mergeCell ref="A24:A27"/>
    <mergeCell ref="D46:E46"/>
    <mergeCell ref="D47:E47"/>
    <mergeCell ref="A51:C51"/>
    <mergeCell ref="A34:A35"/>
    <mergeCell ref="D42:E42"/>
    <mergeCell ref="D44:E44"/>
  </mergeCells>
  <phoneticPr fontId="4" type="noConversion"/>
  <pageMargins left="0.7" right="0.7" top="0.75" bottom="0.75" header="0.3" footer="0.3"/>
  <pageSetup scale="63" orientation="landscape" horizontalDpi="0" verticalDpi="0" copies="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7878E3A8-DAC4-DA4E-8091-D1C1079550B2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B37:B38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4CCC-ACE9-DE4A-B5FC-3DDF4FD604C7}">
  <sheetPr>
    <pageSetUpPr fitToPage="1"/>
  </sheetPr>
  <dimension ref="A1:R59"/>
  <sheetViews>
    <sheetView tabSelected="1" zoomScaleNormal="100" workbookViewId="0">
      <pane ySplit="1" topLeftCell="A2" activePane="bottomLeft" state="frozen"/>
      <selection pane="bottomLeft" activeCell="F45" sqref="F45"/>
    </sheetView>
  </sheetViews>
  <sheetFormatPr baseColWidth="10" defaultRowHeight="16" x14ac:dyDescent="0.2"/>
  <cols>
    <col min="1" max="1" width="26.83203125" customWidth="1"/>
    <col min="2" max="2" width="62.33203125" customWidth="1"/>
    <col min="3" max="3" width="15.5" customWidth="1"/>
    <col min="4" max="4" width="11.6640625" customWidth="1"/>
    <col min="5" max="5" width="12.83203125" customWidth="1"/>
    <col min="6" max="6" width="30.1640625" customWidth="1"/>
    <col min="7" max="7" width="17.5" customWidth="1"/>
    <col min="10" max="10" width="13.5" customWidth="1"/>
    <col min="11" max="11" width="13" customWidth="1"/>
    <col min="12" max="13" width="11.83203125" customWidth="1"/>
    <col min="14" max="14" width="10.83203125" customWidth="1"/>
    <col min="15" max="15" width="10.1640625" customWidth="1"/>
    <col min="16" max="18" width="10.83203125" customWidth="1"/>
  </cols>
  <sheetData>
    <row r="1" spans="1:18" ht="34" x14ac:dyDescent="0.2">
      <c r="A1" s="19" t="s">
        <v>256</v>
      </c>
      <c r="B1" s="19" t="s">
        <v>1</v>
      </c>
      <c r="C1" s="20" t="s">
        <v>2</v>
      </c>
      <c r="D1" s="20" t="s">
        <v>3</v>
      </c>
      <c r="E1" s="20" t="s">
        <v>4</v>
      </c>
      <c r="F1" s="19" t="s">
        <v>5</v>
      </c>
      <c r="G1" s="19" t="s">
        <v>6</v>
      </c>
      <c r="H1" s="21" t="s">
        <v>7</v>
      </c>
      <c r="I1" s="76" t="s">
        <v>85</v>
      </c>
      <c r="J1" s="90" t="s">
        <v>8</v>
      </c>
      <c r="K1" s="86" t="s">
        <v>147</v>
      </c>
      <c r="L1" s="71" t="s">
        <v>145</v>
      </c>
      <c r="M1" s="84" t="s">
        <v>183</v>
      </c>
      <c r="N1" s="71" t="s">
        <v>146</v>
      </c>
      <c r="O1" s="84" t="s">
        <v>186</v>
      </c>
      <c r="P1" s="84" t="s">
        <v>187</v>
      </c>
      <c r="Q1" s="84" t="s">
        <v>169</v>
      </c>
      <c r="R1" s="84" t="s">
        <v>170</v>
      </c>
    </row>
    <row r="2" spans="1:18" ht="16" customHeight="1" x14ac:dyDescent="0.2">
      <c r="A2" s="301" t="s">
        <v>153</v>
      </c>
      <c r="B2" s="95" t="s">
        <v>251</v>
      </c>
      <c r="C2" s="96">
        <v>46059</v>
      </c>
      <c r="D2" s="23">
        <v>46055</v>
      </c>
      <c r="E2" s="96">
        <v>46050</v>
      </c>
      <c r="F2" s="269" t="s">
        <v>323</v>
      </c>
      <c r="G2" s="97">
        <v>32000</v>
      </c>
      <c r="H2" s="98">
        <v>1</v>
      </c>
      <c r="I2" s="99" t="s">
        <v>314</v>
      </c>
      <c r="J2" s="94">
        <f>$K2/(1-$L$2)</f>
        <v>710</v>
      </c>
      <c r="K2" s="152">
        <v>568</v>
      </c>
      <c r="L2" s="72">
        <v>0.2</v>
      </c>
      <c r="M2" s="85" t="s">
        <v>259</v>
      </c>
      <c r="N2" s="85" t="s">
        <v>259</v>
      </c>
      <c r="O2" s="85" t="s">
        <v>259</v>
      </c>
      <c r="P2" s="85" t="s">
        <v>259</v>
      </c>
      <c r="Q2" s="77"/>
      <c r="R2" s="77"/>
    </row>
    <row r="3" spans="1:18" ht="16" customHeight="1" x14ac:dyDescent="0.2">
      <c r="A3" s="302"/>
      <c r="B3" s="243" t="s">
        <v>138</v>
      </c>
      <c r="C3" s="270">
        <v>46087</v>
      </c>
      <c r="D3" s="23">
        <v>46078</v>
      </c>
      <c r="E3" s="270">
        <v>46071</v>
      </c>
      <c r="F3" s="271" t="s">
        <v>324</v>
      </c>
      <c r="G3" s="272">
        <v>32000</v>
      </c>
      <c r="H3" s="273">
        <v>1</v>
      </c>
      <c r="I3" s="274" t="s">
        <v>322</v>
      </c>
      <c r="J3" s="275">
        <f>$K3/(1-$L$2)</f>
        <v>710</v>
      </c>
      <c r="K3" s="276">
        <v>568</v>
      </c>
      <c r="L3" s="72"/>
      <c r="M3" s="85" t="s">
        <v>259</v>
      </c>
      <c r="N3" s="77" t="s">
        <v>259</v>
      </c>
      <c r="O3" s="77" t="s">
        <v>259</v>
      </c>
      <c r="P3" s="77" t="s">
        <v>259</v>
      </c>
      <c r="Q3" s="77"/>
      <c r="R3" s="77"/>
    </row>
    <row r="4" spans="1:18" x14ac:dyDescent="0.2">
      <c r="A4" s="302"/>
      <c r="B4" s="22" t="s">
        <v>310</v>
      </c>
      <c r="C4" s="23">
        <v>46115</v>
      </c>
      <c r="D4" s="23">
        <v>46105</v>
      </c>
      <c r="E4" s="23">
        <v>46098</v>
      </c>
      <c r="F4" s="271" t="s">
        <v>324</v>
      </c>
      <c r="G4" s="97">
        <v>32000</v>
      </c>
      <c r="H4" s="103">
        <v>1</v>
      </c>
      <c r="I4" s="104" t="s">
        <v>315</v>
      </c>
      <c r="J4" s="94">
        <f t="shared" ref="J4:J6" si="0">$K4/(1-$L$2)</f>
        <v>710</v>
      </c>
      <c r="K4" s="152">
        <v>568</v>
      </c>
      <c r="L4" s="43"/>
      <c r="M4" s="85" t="s">
        <v>259</v>
      </c>
      <c r="N4" s="85" t="s">
        <v>259</v>
      </c>
      <c r="O4" s="85" t="s">
        <v>259</v>
      </c>
      <c r="P4" s="85" t="s">
        <v>259</v>
      </c>
      <c r="Q4" s="77"/>
      <c r="R4" s="77"/>
    </row>
    <row r="5" spans="1:18" x14ac:dyDescent="0.2">
      <c r="A5" s="302"/>
      <c r="B5" s="13" t="s">
        <v>14</v>
      </c>
      <c r="C5" s="2">
        <v>46269</v>
      </c>
      <c r="D5" s="2">
        <v>46259</v>
      </c>
      <c r="E5" s="294">
        <v>46252</v>
      </c>
      <c r="F5" s="260" t="s">
        <v>324</v>
      </c>
      <c r="G5" s="206">
        <v>32000</v>
      </c>
      <c r="H5" s="208">
        <v>1</v>
      </c>
      <c r="I5" s="209" t="s">
        <v>316</v>
      </c>
      <c r="J5" s="207">
        <f t="shared" si="0"/>
        <v>710</v>
      </c>
      <c r="K5" s="87">
        <v>568</v>
      </c>
      <c r="L5" s="43"/>
      <c r="M5" s="85" t="s">
        <v>259</v>
      </c>
      <c r="N5" s="85" t="s">
        <v>259</v>
      </c>
      <c r="O5" s="85"/>
      <c r="P5" s="85"/>
      <c r="Q5" s="77"/>
      <c r="R5" s="77"/>
    </row>
    <row r="6" spans="1:18" x14ac:dyDescent="0.2">
      <c r="A6" s="302"/>
      <c r="B6" s="13" t="s">
        <v>140</v>
      </c>
      <c r="C6" s="2">
        <v>46318</v>
      </c>
      <c r="D6" s="2">
        <v>46309</v>
      </c>
      <c r="E6" s="2">
        <v>46302</v>
      </c>
      <c r="F6" s="260" t="s">
        <v>324</v>
      </c>
      <c r="G6" s="206">
        <v>32000</v>
      </c>
      <c r="H6" s="208">
        <v>1</v>
      </c>
      <c r="I6" s="209" t="s">
        <v>317</v>
      </c>
      <c r="J6" s="207">
        <f t="shared" si="0"/>
        <v>710</v>
      </c>
      <c r="K6" s="87">
        <v>568</v>
      </c>
      <c r="L6" s="43"/>
      <c r="M6" s="85" t="s">
        <v>259</v>
      </c>
      <c r="N6" s="85"/>
      <c r="O6" s="85"/>
      <c r="P6" s="77"/>
      <c r="Q6" s="77"/>
      <c r="R6" s="77"/>
    </row>
    <row r="7" spans="1:18" x14ac:dyDescent="0.2">
      <c r="A7" s="302"/>
      <c r="B7" s="1" t="s">
        <v>15</v>
      </c>
      <c r="C7" s="2">
        <v>46332</v>
      </c>
      <c r="D7" s="2">
        <v>46323</v>
      </c>
      <c r="E7" s="2">
        <v>46316</v>
      </c>
      <c r="F7" s="260" t="s">
        <v>324</v>
      </c>
      <c r="G7" s="206">
        <v>32000</v>
      </c>
      <c r="H7" s="208">
        <v>1</v>
      </c>
      <c r="I7" s="209" t="s">
        <v>318</v>
      </c>
      <c r="J7" s="207">
        <f>$K7/(1-$L$2)</f>
        <v>710</v>
      </c>
      <c r="K7" s="87">
        <v>568</v>
      </c>
      <c r="L7" s="43"/>
      <c r="M7" s="85" t="s">
        <v>259</v>
      </c>
      <c r="N7" s="77"/>
      <c r="O7" s="77"/>
      <c r="P7" s="290"/>
      <c r="Q7" s="77"/>
      <c r="R7" s="77"/>
    </row>
    <row r="8" spans="1:18" x14ac:dyDescent="0.2">
      <c r="A8" s="6"/>
      <c r="B8" s="3"/>
      <c r="C8" s="4"/>
      <c r="D8" s="4"/>
      <c r="E8" s="4"/>
      <c r="F8" s="261"/>
      <c r="G8" s="3"/>
      <c r="H8" s="3"/>
      <c r="I8" s="82"/>
      <c r="J8" s="91">
        <f>SUM(J2:J7)</f>
        <v>4260</v>
      </c>
      <c r="K8" s="88"/>
      <c r="L8" s="74"/>
      <c r="M8" s="78"/>
      <c r="N8" s="79"/>
      <c r="O8" s="79"/>
      <c r="P8" s="79"/>
      <c r="Q8" s="79"/>
      <c r="R8" s="79"/>
    </row>
    <row r="9" spans="1:18" x14ac:dyDescent="0.2">
      <c r="A9" s="303" t="s">
        <v>152</v>
      </c>
      <c r="B9" s="22" t="s">
        <v>27</v>
      </c>
      <c r="C9" s="23">
        <v>46157</v>
      </c>
      <c r="D9" s="23">
        <v>46108</v>
      </c>
      <c r="E9" s="23">
        <v>46101</v>
      </c>
      <c r="F9" s="185" t="s">
        <v>19</v>
      </c>
      <c r="G9" s="153">
        <v>2000</v>
      </c>
      <c r="H9" s="24">
        <v>1</v>
      </c>
      <c r="I9" s="93" t="s">
        <v>291</v>
      </c>
      <c r="J9" s="94">
        <f t="shared" ref="J9:J11" si="1">$K9/(1-$L$2)</f>
        <v>865.19999999999993</v>
      </c>
      <c r="K9" s="152">
        <v>692.16</v>
      </c>
      <c r="L9" s="43"/>
      <c r="M9" s="85" t="s">
        <v>259</v>
      </c>
      <c r="N9" s="85" t="s">
        <v>259</v>
      </c>
      <c r="O9" s="85" t="s">
        <v>259</v>
      </c>
      <c r="P9" s="85" t="s">
        <v>259</v>
      </c>
      <c r="Q9" s="77"/>
      <c r="R9" s="77"/>
    </row>
    <row r="10" spans="1:18" x14ac:dyDescent="0.2">
      <c r="A10" s="303"/>
      <c r="B10" s="13" t="s">
        <v>289</v>
      </c>
      <c r="C10" s="2">
        <v>46296</v>
      </c>
      <c r="D10" s="2">
        <v>46261</v>
      </c>
      <c r="E10" s="294">
        <v>46254</v>
      </c>
      <c r="F10" s="193" t="s">
        <v>19</v>
      </c>
      <c r="G10" s="210">
        <v>2000</v>
      </c>
      <c r="H10" s="1">
        <v>1</v>
      </c>
      <c r="I10" s="211" t="s">
        <v>292</v>
      </c>
      <c r="J10" s="207">
        <f t="shared" si="1"/>
        <v>865.19999999999993</v>
      </c>
      <c r="K10" s="87">
        <v>692.16</v>
      </c>
      <c r="L10" s="43"/>
      <c r="M10" s="85" t="s">
        <v>259</v>
      </c>
      <c r="N10" s="85" t="s">
        <v>259</v>
      </c>
      <c r="O10" s="85"/>
      <c r="P10" s="85"/>
      <c r="Q10" s="77"/>
      <c r="R10" s="77"/>
    </row>
    <row r="11" spans="1:18" x14ac:dyDescent="0.2">
      <c r="A11" s="303"/>
      <c r="B11" s="13" t="s">
        <v>290</v>
      </c>
      <c r="C11" s="2">
        <v>46419</v>
      </c>
      <c r="D11" s="2">
        <v>46374</v>
      </c>
      <c r="E11" s="2">
        <v>46367</v>
      </c>
      <c r="F11" s="193" t="s">
        <v>19</v>
      </c>
      <c r="G11" s="210">
        <v>2000</v>
      </c>
      <c r="H11" s="1">
        <v>1</v>
      </c>
      <c r="I11" s="211" t="s">
        <v>293</v>
      </c>
      <c r="J11" s="207">
        <f t="shared" si="1"/>
        <v>865.19999999999993</v>
      </c>
      <c r="K11" s="87">
        <v>692.16</v>
      </c>
      <c r="L11" s="43"/>
      <c r="M11" s="85" t="s">
        <v>259</v>
      </c>
      <c r="N11" s="77"/>
      <c r="O11" s="77"/>
      <c r="P11" s="77"/>
      <c r="Q11" s="77"/>
      <c r="R11" s="77"/>
    </row>
    <row r="12" spans="1:18" x14ac:dyDescent="0.2">
      <c r="A12" s="6"/>
      <c r="B12" s="3"/>
      <c r="C12" s="4"/>
      <c r="D12" s="4"/>
      <c r="E12" s="4"/>
      <c r="F12" s="261"/>
      <c r="G12" s="3"/>
      <c r="H12" s="3"/>
      <c r="I12" s="82"/>
      <c r="J12" s="92">
        <f>SUM(J9:J11)</f>
        <v>2595.6</v>
      </c>
      <c r="K12" s="88"/>
      <c r="L12" s="75"/>
      <c r="M12" s="79"/>
      <c r="N12" s="79"/>
      <c r="O12" s="79"/>
      <c r="P12" s="79"/>
      <c r="Q12" s="79"/>
      <c r="R12" s="79"/>
    </row>
    <row r="13" spans="1:18" x14ac:dyDescent="0.2">
      <c r="A13" s="303" t="s">
        <v>78</v>
      </c>
      <c r="B13" s="22" t="s">
        <v>23</v>
      </c>
      <c r="C13" s="23">
        <v>46139</v>
      </c>
      <c r="D13" s="23">
        <v>46127</v>
      </c>
      <c r="E13" s="23">
        <v>46120</v>
      </c>
      <c r="F13" s="185" t="s">
        <v>172</v>
      </c>
      <c r="G13" s="153">
        <v>2500</v>
      </c>
      <c r="H13" s="24">
        <v>1</v>
      </c>
      <c r="I13" s="93" t="s">
        <v>319</v>
      </c>
      <c r="J13" s="94">
        <f t="shared" ref="J13:J15" si="2">$K13/(1-$L$2)</f>
        <v>776.25</v>
      </c>
      <c r="K13" s="152">
        <v>621</v>
      </c>
      <c r="L13" s="43"/>
      <c r="M13" s="85" t="s">
        <v>259</v>
      </c>
      <c r="N13" s="85" t="s">
        <v>259</v>
      </c>
      <c r="O13" s="85" t="s">
        <v>259</v>
      </c>
      <c r="P13" s="85" t="s">
        <v>259</v>
      </c>
      <c r="Q13" s="77"/>
      <c r="R13" s="77"/>
    </row>
    <row r="14" spans="1:18" x14ac:dyDescent="0.2">
      <c r="A14" s="303"/>
      <c r="B14" s="13" t="s">
        <v>171</v>
      </c>
      <c r="C14" s="2">
        <v>46230</v>
      </c>
      <c r="D14" s="2">
        <v>46218</v>
      </c>
      <c r="E14" s="292">
        <v>46211</v>
      </c>
      <c r="F14" s="193" t="s">
        <v>172</v>
      </c>
      <c r="G14" s="210">
        <v>2500</v>
      </c>
      <c r="H14" s="1">
        <v>1</v>
      </c>
      <c r="I14" s="211" t="s">
        <v>320</v>
      </c>
      <c r="J14" s="207">
        <f t="shared" si="2"/>
        <v>776.25</v>
      </c>
      <c r="K14" s="87">
        <v>621</v>
      </c>
      <c r="L14" s="43"/>
      <c r="M14" s="85" t="s">
        <v>259</v>
      </c>
      <c r="N14" s="85" t="s">
        <v>259</v>
      </c>
      <c r="O14" s="85"/>
      <c r="P14" s="85"/>
      <c r="Q14" s="77"/>
      <c r="R14" s="77"/>
    </row>
    <row r="15" spans="1:18" x14ac:dyDescent="0.2">
      <c r="A15" s="303"/>
      <c r="B15" s="13" t="s">
        <v>25</v>
      </c>
      <c r="C15" s="2">
        <v>46322</v>
      </c>
      <c r="D15" s="2">
        <v>46310</v>
      </c>
      <c r="E15" s="2">
        <v>46303</v>
      </c>
      <c r="F15" s="193" t="s">
        <v>172</v>
      </c>
      <c r="G15" s="210">
        <v>2500</v>
      </c>
      <c r="H15" s="1">
        <v>1</v>
      </c>
      <c r="I15" s="211" t="s">
        <v>321</v>
      </c>
      <c r="J15" s="207">
        <f t="shared" si="2"/>
        <v>776.25</v>
      </c>
      <c r="K15" s="87">
        <v>621</v>
      </c>
      <c r="L15" s="43"/>
      <c r="M15" s="85" t="s">
        <v>259</v>
      </c>
      <c r="N15" s="85"/>
      <c r="O15" s="77"/>
      <c r="P15" s="77"/>
      <c r="Q15" s="77"/>
      <c r="R15" s="77"/>
    </row>
    <row r="16" spans="1:18" x14ac:dyDescent="0.2">
      <c r="A16" s="6"/>
      <c r="B16" s="3"/>
      <c r="C16" s="4"/>
      <c r="D16" s="4"/>
      <c r="E16" s="4">
        <v>1</v>
      </c>
      <c r="F16" s="261"/>
      <c r="G16" s="3"/>
      <c r="H16" s="3"/>
      <c r="I16" s="82"/>
      <c r="J16" s="92">
        <f>SUM(J13:J15)</f>
        <v>2328.75</v>
      </c>
      <c r="K16" s="88"/>
      <c r="L16" s="75"/>
      <c r="M16" s="79"/>
      <c r="N16" s="79"/>
      <c r="O16" s="79"/>
      <c r="P16" s="79"/>
      <c r="Q16" s="79"/>
      <c r="R16" s="79"/>
    </row>
    <row r="17" spans="1:18" ht="18" customHeight="1" x14ac:dyDescent="0.2">
      <c r="A17" s="303" t="s">
        <v>151</v>
      </c>
      <c r="B17" s="238" t="s">
        <v>347</v>
      </c>
      <c r="C17" s="2"/>
      <c r="D17" s="2">
        <v>46234</v>
      </c>
      <c r="E17" s="292">
        <v>46227</v>
      </c>
      <c r="F17" s="193" t="s">
        <v>260</v>
      </c>
      <c r="G17" s="212">
        <v>400000</v>
      </c>
      <c r="H17" s="1">
        <v>1</v>
      </c>
      <c r="I17" s="211" t="s">
        <v>349</v>
      </c>
      <c r="J17" s="207">
        <f t="shared" ref="J17:J18" si="3">$K17/(1-$L$2)</f>
        <v>1875</v>
      </c>
      <c r="K17" s="87">
        <v>1500</v>
      </c>
      <c r="L17" s="43"/>
      <c r="M17" s="77" t="s">
        <v>259</v>
      </c>
      <c r="N17" s="77" t="s">
        <v>259</v>
      </c>
      <c r="O17" s="77"/>
      <c r="P17" s="77"/>
      <c r="Q17" s="77"/>
      <c r="R17" s="77"/>
    </row>
    <row r="18" spans="1:18" ht="16" customHeight="1" x14ac:dyDescent="0.2">
      <c r="A18" s="303"/>
      <c r="B18" s="239" t="s">
        <v>348</v>
      </c>
      <c r="C18" s="2"/>
      <c r="D18" s="2">
        <v>46371</v>
      </c>
      <c r="E18" s="2">
        <v>46364</v>
      </c>
      <c r="F18" s="193" t="s">
        <v>260</v>
      </c>
      <c r="G18" s="212">
        <v>400000</v>
      </c>
      <c r="H18" s="1">
        <v>1</v>
      </c>
      <c r="I18" s="211" t="s">
        <v>350</v>
      </c>
      <c r="J18" s="207">
        <f t="shared" si="3"/>
        <v>1875</v>
      </c>
      <c r="K18" s="87">
        <v>1500</v>
      </c>
      <c r="L18" s="43"/>
      <c r="M18" s="77" t="s">
        <v>259</v>
      </c>
      <c r="N18" s="77"/>
      <c r="O18" s="77"/>
      <c r="P18" s="77"/>
      <c r="Q18" s="77"/>
      <c r="R18" s="77"/>
    </row>
    <row r="19" spans="1:18" x14ac:dyDescent="0.2">
      <c r="A19" s="6"/>
      <c r="B19" s="14"/>
      <c r="C19" s="7"/>
      <c r="D19" s="7"/>
      <c r="E19" s="7"/>
      <c r="F19" s="262"/>
      <c r="G19" s="6"/>
      <c r="H19" s="6"/>
      <c r="I19" s="82"/>
      <c r="J19" s="65">
        <f>SUM(J17:J18)</f>
        <v>3750</v>
      </c>
      <c r="K19" s="88"/>
      <c r="L19" s="75"/>
      <c r="M19" s="79"/>
      <c r="N19" s="79"/>
      <c r="O19" s="79"/>
      <c r="P19" s="79"/>
      <c r="Q19" s="79"/>
      <c r="R19" s="79"/>
    </row>
    <row r="20" spans="1:18" ht="19" customHeight="1" x14ac:dyDescent="0.2">
      <c r="A20" s="301" t="s">
        <v>288</v>
      </c>
      <c r="B20" s="243" t="s">
        <v>308</v>
      </c>
      <c r="C20" s="244">
        <v>46050</v>
      </c>
      <c r="D20" s="244">
        <v>46038</v>
      </c>
      <c r="E20" s="244">
        <v>46037</v>
      </c>
      <c r="F20" s="263" t="s">
        <v>44</v>
      </c>
      <c r="G20" s="245">
        <v>1811</v>
      </c>
      <c r="H20" s="243">
        <v>1</v>
      </c>
      <c r="I20" s="246" t="s">
        <v>309</v>
      </c>
      <c r="J20" s="247">
        <f t="shared" ref="J20:J21" si="4">$K20/(1-$L$2)</f>
        <v>652.5</v>
      </c>
      <c r="K20" s="248">
        <v>522</v>
      </c>
      <c r="L20" s="43"/>
      <c r="M20" s="85" t="s">
        <v>259</v>
      </c>
      <c r="N20" s="85" t="s">
        <v>259</v>
      </c>
      <c r="O20" s="85" t="s">
        <v>259</v>
      </c>
      <c r="P20" s="85" t="s">
        <v>259</v>
      </c>
      <c r="Q20" s="77"/>
      <c r="R20" s="77"/>
    </row>
    <row r="21" spans="1:18" ht="19" customHeight="1" x14ac:dyDescent="0.2">
      <c r="A21" s="302"/>
      <c r="B21" s="199" t="s">
        <v>311</v>
      </c>
      <c r="C21" s="2">
        <v>46253</v>
      </c>
      <c r="D21" s="200">
        <v>46196</v>
      </c>
      <c r="E21" s="291">
        <v>46189</v>
      </c>
      <c r="F21" s="264" t="s">
        <v>44</v>
      </c>
      <c r="G21" s="215">
        <v>1811</v>
      </c>
      <c r="H21" s="214">
        <v>1</v>
      </c>
      <c r="I21" s="217" t="s">
        <v>329</v>
      </c>
      <c r="J21" s="216">
        <f t="shared" si="4"/>
        <v>652.5</v>
      </c>
      <c r="K21" s="224">
        <v>522</v>
      </c>
      <c r="L21" s="181"/>
      <c r="M21" s="85" t="s">
        <v>259</v>
      </c>
      <c r="N21" s="85" t="s">
        <v>259</v>
      </c>
      <c r="O21" s="85"/>
      <c r="P21" s="85"/>
      <c r="Q21" s="77"/>
      <c r="R21" s="77"/>
    </row>
    <row r="22" spans="1:18" x14ac:dyDescent="0.2">
      <c r="A22" s="6"/>
      <c r="B22" s="116"/>
      <c r="C22" s="117"/>
      <c r="D22" s="117"/>
      <c r="E22" s="7"/>
      <c r="F22" s="262"/>
      <c r="G22" s="6"/>
      <c r="H22" s="6"/>
      <c r="I22" s="82"/>
      <c r="J22" s="65">
        <f>SUM(J20:J21)</f>
        <v>1305</v>
      </c>
      <c r="K22" s="88"/>
      <c r="L22" s="75"/>
      <c r="M22" s="79"/>
      <c r="N22" s="79"/>
      <c r="O22" s="79"/>
      <c r="P22" s="79"/>
      <c r="Q22" s="79"/>
      <c r="R22" s="79"/>
    </row>
    <row r="23" spans="1:18" ht="23" customHeight="1" x14ac:dyDescent="0.2">
      <c r="A23" s="311" t="s">
        <v>227</v>
      </c>
      <c r="B23" s="177" t="s">
        <v>144</v>
      </c>
      <c r="C23" s="289">
        <v>46143</v>
      </c>
      <c r="D23" s="289">
        <v>46136</v>
      </c>
      <c r="E23" s="179">
        <v>46129</v>
      </c>
      <c r="F23" s="185" t="s">
        <v>73</v>
      </c>
      <c r="G23" s="153">
        <v>2450</v>
      </c>
      <c r="H23" s="24">
        <v>1</v>
      </c>
      <c r="I23" s="93" t="s">
        <v>330</v>
      </c>
      <c r="J23" s="180">
        <f t="shared" ref="J23:J31" si="5">$K23/(1-$L$2)</f>
        <v>637.5</v>
      </c>
      <c r="K23" s="152">
        <v>510</v>
      </c>
      <c r="L23" s="43"/>
      <c r="M23" s="85" t="s">
        <v>259</v>
      </c>
      <c r="N23" s="85" t="s">
        <v>259</v>
      </c>
      <c r="O23" s="85" t="s">
        <v>259</v>
      </c>
      <c r="P23" s="85" t="s">
        <v>259</v>
      </c>
      <c r="Q23" s="77"/>
      <c r="R23" s="77"/>
    </row>
    <row r="24" spans="1:18" ht="21" customHeight="1" x14ac:dyDescent="0.2">
      <c r="A24" s="311"/>
      <c r="B24" s="201" t="s">
        <v>312</v>
      </c>
      <c r="C24" s="202">
        <v>46297</v>
      </c>
      <c r="D24" s="202">
        <v>46290</v>
      </c>
      <c r="E24" s="295">
        <v>46283</v>
      </c>
      <c r="F24" s="193" t="s">
        <v>73</v>
      </c>
      <c r="G24" s="210">
        <v>2450</v>
      </c>
      <c r="H24" s="1">
        <v>1</v>
      </c>
      <c r="I24" s="211" t="s">
        <v>331</v>
      </c>
      <c r="J24" s="213">
        <f t="shared" si="5"/>
        <v>637.5</v>
      </c>
      <c r="K24" s="87">
        <v>510</v>
      </c>
      <c r="L24" s="43"/>
      <c r="M24" s="85" t="s">
        <v>259</v>
      </c>
      <c r="N24" s="85" t="s">
        <v>259</v>
      </c>
      <c r="O24" s="85"/>
      <c r="P24" s="85"/>
      <c r="Q24" s="77"/>
      <c r="R24" s="77"/>
    </row>
    <row r="25" spans="1:18" x14ac:dyDescent="0.2">
      <c r="A25" s="56"/>
      <c r="B25" s="143"/>
      <c r="C25" s="144"/>
      <c r="D25" s="144"/>
      <c r="E25" s="117"/>
      <c r="F25" s="265"/>
      <c r="G25" s="56"/>
      <c r="H25" s="56"/>
      <c r="I25" s="118"/>
      <c r="J25" s="119">
        <f>SUM(J23:J24)</f>
        <v>1275</v>
      </c>
      <c r="K25" s="120"/>
      <c r="L25" s="121"/>
      <c r="M25" s="122"/>
      <c r="N25" s="122"/>
      <c r="O25" s="122"/>
      <c r="P25" s="122"/>
      <c r="Q25" s="122"/>
      <c r="R25" s="122"/>
    </row>
    <row r="26" spans="1:18" x14ac:dyDescent="0.2">
      <c r="A26" s="303" t="s">
        <v>228</v>
      </c>
      <c r="B26" s="24" t="s">
        <v>327</v>
      </c>
      <c r="C26" s="23" t="s">
        <v>328</v>
      </c>
      <c r="D26" s="23" t="s">
        <v>328</v>
      </c>
      <c r="E26" s="249">
        <v>46038</v>
      </c>
      <c r="F26" s="250" t="s">
        <v>306</v>
      </c>
      <c r="G26" s="97">
        <v>5300</v>
      </c>
      <c r="H26" s="40">
        <v>1</v>
      </c>
      <c r="I26" s="250" t="s">
        <v>307</v>
      </c>
      <c r="J26" s="41">
        <v>0</v>
      </c>
      <c r="K26" s="41">
        <v>0</v>
      </c>
      <c r="L26" s="13"/>
      <c r="M26" s="85" t="s">
        <v>259</v>
      </c>
      <c r="N26" s="85" t="s">
        <v>259</v>
      </c>
      <c r="O26" s="85" t="s">
        <v>259</v>
      </c>
      <c r="P26" s="85" t="s">
        <v>259</v>
      </c>
      <c r="Q26" s="124"/>
      <c r="R26" s="124"/>
    </row>
    <row r="27" spans="1:18" x14ac:dyDescent="0.2">
      <c r="A27" s="303"/>
      <c r="B27" s="1" t="s">
        <v>325</v>
      </c>
      <c r="C27" s="2">
        <v>46230</v>
      </c>
      <c r="D27" s="2">
        <v>46198</v>
      </c>
      <c r="E27" s="291">
        <v>46191</v>
      </c>
      <c r="F27" s="237" t="s">
        <v>263</v>
      </c>
      <c r="G27" s="233">
        <v>5300</v>
      </c>
      <c r="H27" s="234">
        <v>1</v>
      </c>
      <c r="I27" s="235" t="s">
        <v>332</v>
      </c>
      <c r="J27" s="213">
        <f>$K27/(1-$L$2)</f>
        <v>562.5</v>
      </c>
      <c r="K27" s="236">
        <v>450</v>
      </c>
      <c r="L27" s="1"/>
      <c r="M27" s="85" t="s">
        <v>259</v>
      </c>
      <c r="N27" s="85" t="s">
        <v>259</v>
      </c>
      <c r="O27" s="85"/>
      <c r="P27" s="154"/>
      <c r="Q27" s="124"/>
      <c r="R27" s="124"/>
    </row>
    <row r="28" spans="1:18" x14ac:dyDescent="0.2">
      <c r="A28" s="312"/>
      <c r="B28" s="1" t="s">
        <v>326</v>
      </c>
      <c r="C28" s="2">
        <v>46356</v>
      </c>
      <c r="D28" s="2">
        <v>46324</v>
      </c>
      <c r="E28" s="2">
        <v>46317</v>
      </c>
      <c r="F28" s="124" t="s">
        <v>263</v>
      </c>
      <c r="G28" s="212">
        <v>5300</v>
      </c>
      <c r="H28" s="1">
        <v>1</v>
      </c>
      <c r="I28" s="218" t="s">
        <v>333</v>
      </c>
      <c r="J28" s="207">
        <f t="shared" si="5"/>
        <v>562.5</v>
      </c>
      <c r="K28" s="219">
        <v>450</v>
      </c>
      <c r="L28" s="1"/>
      <c r="M28" s="85" t="s">
        <v>259</v>
      </c>
      <c r="N28" s="85"/>
      <c r="O28" s="85"/>
      <c r="P28" s="193"/>
      <c r="Q28" s="1"/>
      <c r="R28" s="1"/>
    </row>
    <row r="29" spans="1:18" x14ac:dyDescent="0.2">
      <c r="A29" s="3"/>
      <c r="B29" s="3"/>
      <c r="C29" s="3"/>
      <c r="D29" s="3"/>
      <c r="E29" s="3"/>
      <c r="F29" s="261"/>
      <c r="G29" s="3"/>
      <c r="H29" s="3"/>
      <c r="I29" s="125"/>
      <c r="J29" s="119">
        <f>SUM(J27:J28)</f>
        <v>1125</v>
      </c>
      <c r="K29" s="125"/>
      <c r="L29" s="3"/>
      <c r="M29" s="3"/>
      <c r="N29" s="3"/>
      <c r="O29" s="3"/>
      <c r="P29" s="3"/>
      <c r="Q29" s="3"/>
      <c r="R29" s="3"/>
    </row>
    <row r="30" spans="1:18" s="146" customFormat="1" ht="32" customHeight="1" x14ac:dyDescent="0.2">
      <c r="A30" s="301" t="s">
        <v>229</v>
      </c>
      <c r="B30" s="188" t="s">
        <v>343</v>
      </c>
      <c r="C30" s="133">
        <v>46085</v>
      </c>
      <c r="D30" s="133">
        <v>46059</v>
      </c>
      <c r="E30" s="133">
        <v>46052</v>
      </c>
      <c r="F30" s="187" t="s">
        <v>263</v>
      </c>
      <c r="G30" s="189">
        <v>13579</v>
      </c>
      <c r="H30" s="134">
        <v>1</v>
      </c>
      <c r="I30" s="187" t="s">
        <v>345</v>
      </c>
      <c r="J30" s="132">
        <f t="shared" si="5"/>
        <v>1006.25</v>
      </c>
      <c r="K30" s="190">
        <v>805</v>
      </c>
      <c r="L30" s="145"/>
      <c r="M30" s="85" t="s">
        <v>259</v>
      </c>
      <c r="N30" s="85" t="s">
        <v>259</v>
      </c>
      <c r="O30" s="85" t="s">
        <v>259</v>
      </c>
      <c r="P30" s="85" t="s">
        <v>259</v>
      </c>
      <c r="Q30" s="145"/>
      <c r="R30" s="145"/>
    </row>
    <row r="31" spans="1:18" s="146" customFormat="1" ht="31" customHeight="1" x14ac:dyDescent="0.2">
      <c r="A31" s="313"/>
      <c r="B31" s="203" t="s">
        <v>313</v>
      </c>
      <c r="C31" s="204">
        <v>46267</v>
      </c>
      <c r="D31" s="204">
        <v>46241</v>
      </c>
      <c r="E31" s="293">
        <v>46234</v>
      </c>
      <c r="F31" s="124" t="s">
        <v>263</v>
      </c>
      <c r="G31" s="220">
        <v>13579</v>
      </c>
      <c r="H31" s="145">
        <v>1</v>
      </c>
      <c r="I31" s="124" t="s">
        <v>346</v>
      </c>
      <c r="J31" s="221">
        <f t="shared" si="5"/>
        <v>1006.25</v>
      </c>
      <c r="K31" s="222">
        <v>805</v>
      </c>
      <c r="L31" s="145"/>
      <c r="M31" s="85" t="s">
        <v>259</v>
      </c>
      <c r="N31" s="85" t="s">
        <v>259</v>
      </c>
      <c r="O31" s="85"/>
      <c r="P31" s="85"/>
      <c r="Q31" s="145"/>
      <c r="R31" s="145"/>
    </row>
    <row r="32" spans="1:18" x14ac:dyDescent="0.2">
      <c r="A32" s="147"/>
      <c r="B32" s="148"/>
      <c r="C32" s="117"/>
      <c r="D32" s="117"/>
      <c r="E32" s="117"/>
      <c r="F32" s="3"/>
      <c r="G32" s="3"/>
      <c r="H32" s="3"/>
      <c r="I32" s="3"/>
      <c r="J32" s="240">
        <f>SUM(J30:J31)</f>
        <v>2012.5</v>
      </c>
      <c r="K32" s="3"/>
      <c r="L32" s="3"/>
      <c r="M32" s="3"/>
      <c r="N32" s="3"/>
      <c r="O32" s="3"/>
      <c r="P32" s="3"/>
      <c r="Q32" s="3"/>
      <c r="R32" s="3"/>
    </row>
    <row r="34" spans="1:11" ht="19" x14ac:dyDescent="0.25">
      <c r="A34" s="114" t="s">
        <v>197</v>
      </c>
      <c r="B34" s="101"/>
      <c r="C34" s="102"/>
      <c r="D34" s="297"/>
      <c r="E34" s="298"/>
      <c r="F34" s="142"/>
      <c r="G34" s="142"/>
      <c r="H34" s="142"/>
      <c r="I34" s="142"/>
      <c r="J34" s="142"/>
    </row>
    <row r="35" spans="1:11" x14ac:dyDescent="0.2">
      <c r="A35" s="40" t="s">
        <v>340</v>
      </c>
      <c r="B35" s="98" t="s">
        <v>351</v>
      </c>
      <c r="C35" s="24"/>
      <c r="D35" s="23">
        <v>46106</v>
      </c>
      <c r="E35" s="280">
        <v>46099</v>
      </c>
      <c r="F35" s="185" t="s">
        <v>306</v>
      </c>
      <c r="G35" s="24" t="s">
        <v>286</v>
      </c>
      <c r="H35" s="24"/>
      <c r="I35" s="24" t="s">
        <v>341</v>
      </c>
      <c r="J35" s="26" t="s">
        <v>129</v>
      </c>
      <c r="K35" s="1"/>
    </row>
    <row r="36" spans="1:11" x14ac:dyDescent="0.2">
      <c r="A36" s="48" t="s">
        <v>352</v>
      </c>
      <c r="B36" s="106"/>
      <c r="C36" s="277"/>
      <c r="D36" s="278">
        <v>46111</v>
      </c>
      <c r="E36" s="279">
        <v>46104</v>
      </c>
      <c r="F36" s="250" t="s">
        <v>189</v>
      </c>
      <c r="G36" s="40" t="s">
        <v>286</v>
      </c>
      <c r="H36" s="40"/>
      <c r="I36" s="40" t="s">
        <v>338</v>
      </c>
      <c r="J36" s="285" t="s">
        <v>129</v>
      </c>
      <c r="K36" s="1"/>
    </row>
    <row r="37" spans="1:11" x14ac:dyDescent="0.2">
      <c r="A37" s="68" t="s">
        <v>284</v>
      </c>
      <c r="B37" s="100"/>
      <c r="C37" s="254"/>
      <c r="D37" s="256">
        <v>46300</v>
      </c>
      <c r="E37" s="296">
        <v>46293</v>
      </c>
      <c r="F37" s="267" t="s">
        <v>282</v>
      </c>
      <c r="G37" s="43" t="s">
        <v>128</v>
      </c>
      <c r="I37" s="43" t="s">
        <v>354</v>
      </c>
      <c r="J37" s="139" t="s">
        <v>129</v>
      </c>
      <c r="K37" s="1"/>
    </row>
    <row r="38" spans="1:11" x14ac:dyDescent="0.2">
      <c r="A38" s="68" t="s">
        <v>60</v>
      </c>
      <c r="B38" s="100"/>
      <c r="C38" s="254"/>
      <c r="D38" s="255">
        <v>46303</v>
      </c>
      <c r="E38" s="205">
        <v>46296</v>
      </c>
      <c r="F38" s="266" t="s">
        <v>342</v>
      </c>
      <c r="G38" s="52" t="s">
        <v>286</v>
      </c>
      <c r="H38" s="52"/>
      <c r="I38" s="52" t="s">
        <v>337</v>
      </c>
      <c r="J38" s="286" t="s">
        <v>129</v>
      </c>
      <c r="K38" s="1"/>
    </row>
    <row r="39" spans="1:11" x14ac:dyDescent="0.2">
      <c r="A39" s="241" t="s">
        <v>334</v>
      </c>
      <c r="B39" s="242" t="s">
        <v>207</v>
      </c>
      <c r="C39" s="257">
        <v>46388</v>
      </c>
      <c r="D39" s="258">
        <v>46377</v>
      </c>
      <c r="E39" s="257">
        <v>46370</v>
      </c>
      <c r="F39" s="268" t="s">
        <v>205</v>
      </c>
      <c r="G39" s="259"/>
      <c r="H39" s="259"/>
      <c r="I39" s="259" t="s">
        <v>335</v>
      </c>
      <c r="J39" s="287">
        <f t="shared" ref="J39" si="6">$K39/(1-$L$2)</f>
        <v>710</v>
      </c>
      <c r="K39" s="123">
        <v>568</v>
      </c>
    </row>
    <row r="40" spans="1:11" x14ac:dyDescent="0.2">
      <c r="A40" s="281" t="s">
        <v>67</v>
      </c>
      <c r="B40" s="282"/>
      <c r="C40" s="254"/>
      <c r="D40" s="299" t="s">
        <v>69</v>
      </c>
      <c r="E40" s="300"/>
      <c r="F40" s="283" t="s">
        <v>339</v>
      </c>
      <c r="G40" s="284"/>
      <c r="H40" s="284"/>
      <c r="I40" s="284" t="s">
        <v>353</v>
      </c>
      <c r="J40" s="288"/>
      <c r="K40" s="1"/>
    </row>
    <row r="42" spans="1:11" ht="19" x14ac:dyDescent="0.25">
      <c r="G42" s="45" t="s">
        <v>344</v>
      </c>
      <c r="H42" s="46"/>
      <c r="I42" s="46"/>
      <c r="J42" s="164">
        <f>SUM(J8+J12+J16+J19+J22+J25+J29+J32+J39)</f>
        <v>19361.849999999999</v>
      </c>
      <c r="K42" s="165">
        <f>SUM(K2:K40)</f>
        <v>15489.48</v>
      </c>
    </row>
    <row r="43" spans="1:11" ht="19" x14ac:dyDescent="0.25">
      <c r="A43" s="304" t="s">
        <v>191</v>
      </c>
      <c r="B43" s="304"/>
      <c r="C43" s="305"/>
      <c r="D43" s="70"/>
      <c r="G43" s="252"/>
    </row>
    <row r="44" spans="1:11" ht="20" customHeight="1" x14ac:dyDescent="0.2">
      <c r="A44" s="43" t="s">
        <v>212</v>
      </c>
      <c r="B44" s="43"/>
      <c r="C44" s="223"/>
      <c r="D44" s="43"/>
      <c r="E44" s="115"/>
      <c r="F44" s="251"/>
    </row>
    <row r="45" spans="1:11" ht="20" customHeight="1" x14ac:dyDescent="0.2">
      <c r="A45" s="43"/>
      <c r="B45" s="43"/>
      <c r="C45" s="43"/>
      <c r="D45" s="43"/>
      <c r="E45" s="43"/>
      <c r="F45" s="70"/>
    </row>
    <row r="46" spans="1:11" ht="20" customHeight="1" x14ac:dyDescent="0.2">
      <c r="A46" s="43"/>
      <c r="B46" s="43"/>
      <c r="C46" s="43"/>
      <c r="D46" s="43"/>
      <c r="E46" s="43"/>
    </row>
    <row r="47" spans="1:11" ht="20" customHeight="1" x14ac:dyDescent="0.2">
      <c r="A47" s="43"/>
      <c r="B47" s="43"/>
      <c r="C47" s="43"/>
      <c r="D47" s="43"/>
      <c r="E47" s="43"/>
    </row>
    <row r="50" spans="1:18" ht="19" x14ac:dyDescent="0.25">
      <c r="A50" s="306" t="s">
        <v>336</v>
      </c>
      <c r="B50" s="307"/>
      <c r="C50" s="308"/>
    </row>
    <row r="51" spans="1:18" ht="19" x14ac:dyDescent="0.25">
      <c r="A51" s="161" t="s">
        <v>0</v>
      </c>
      <c r="B51" s="162" t="s">
        <v>267</v>
      </c>
      <c r="C51" s="162" t="s">
        <v>6</v>
      </c>
    </row>
    <row r="52" spans="1:18" x14ac:dyDescent="0.2">
      <c r="A52" s="309"/>
      <c r="B52" s="156"/>
      <c r="C52" s="163"/>
      <c r="D52" s="157"/>
      <c r="E52" s="158"/>
      <c r="G52" s="159"/>
      <c r="I52" s="160"/>
      <c r="J52" s="5"/>
      <c r="K52" s="5"/>
      <c r="M52" s="154"/>
      <c r="N52" s="155"/>
      <c r="O52" s="155"/>
      <c r="P52" s="155"/>
      <c r="Q52" s="155"/>
      <c r="R52" s="155"/>
    </row>
    <row r="53" spans="1:18" ht="18" customHeight="1" x14ac:dyDescent="0.2">
      <c r="A53" s="310"/>
      <c r="B53" s="1"/>
      <c r="C53" s="1"/>
    </row>
    <row r="54" spans="1:18" ht="18" customHeight="1" x14ac:dyDescent="0.2">
      <c r="A54" s="155"/>
      <c r="C54" s="253"/>
    </row>
    <row r="55" spans="1:18" ht="20" customHeight="1" x14ac:dyDescent="0.2">
      <c r="A55" s="30" t="s">
        <v>114</v>
      </c>
    </row>
    <row r="56" spans="1:18" ht="19" customHeight="1" x14ac:dyDescent="0.2">
      <c r="A56" s="66" t="s">
        <v>132</v>
      </c>
    </row>
    <row r="57" spans="1:18" ht="19" customHeight="1" x14ac:dyDescent="0.2"/>
    <row r="58" spans="1:18" ht="18" customHeight="1" x14ac:dyDescent="0.2"/>
    <row r="59" spans="1:18" ht="15" customHeight="1" x14ac:dyDescent="0.2"/>
  </sheetData>
  <sheetProtection selectLockedCells="1"/>
  <mergeCells count="13">
    <mergeCell ref="A43:C43"/>
    <mergeCell ref="A50:C50"/>
    <mergeCell ref="A52:A53"/>
    <mergeCell ref="A23:A24"/>
    <mergeCell ref="A26:A28"/>
    <mergeCell ref="A30:A31"/>
    <mergeCell ref="D34:E34"/>
    <mergeCell ref="D40:E40"/>
    <mergeCell ref="A2:A7"/>
    <mergeCell ref="A9:A11"/>
    <mergeCell ref="A13:A15"/>
    <mergeCell ref="A17:A18"/>
    <mergeCell ref="A20:A21"/>
  </mergeCells>
  <phoneticPr fontId="4" type="noConversion"/>
  <pageMargins left="0.7" right="0.7" top="0.75" bottom="0.75" header="0.3" footer="0.3"/>
  <pageSetup scale="63" orientation="landscape" horizontalDpi="0" verticalDpi="0" copies="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CFB3350-8433-3D46-A96B-199DF3489BE3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B30:B32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2023</vt:lpstr>
      <vt:lpstr>2024</vt:lpstr>
      <vt:lpstr>2025</vt:lpstr>
      <vt:lpstr>2026</vt:lpstr>
      <vt:lpstr>'2025'!Print_Area</vt:lpstr>
      <vt:lpstr>'2026'!Print_Area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brent knautz</cp:lastModifiedBy>
  <cp:lastPrinted>2025-01-27T18:10:23Z</cp:lastPrinted>
  <dcterms:created xsi:type="dcterms:W3CDTF">2022-03-17T19:31:27Z</dcterms:created>
  <dcterms:modified xsi:type="dcterms:W3CDTF">2026-04-24T15:12:42Z</dcterms:modified>
</cp:coreProperties>
</file>